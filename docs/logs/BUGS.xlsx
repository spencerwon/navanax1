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<sst xmlns="http://schemas.openxmlformats.org/spreadsheetml/2006/main" count="827" uniqueCount="404">
  <si>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</si>
  <si>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</si>
  <si>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</si>
  <si>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</si>
  <si>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</si>
  <si>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</si>
  <si>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</si>
  <si>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</si>
  <si>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</si>
  <si>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</si>
  <si>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</si>
  <si>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</si>
  <si>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</si>
  <si>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</si>
  <si>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</si>
  <si>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</si>
  <si>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</si>
  <si>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</si>
  <si>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</si>
  <si>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</si>
  <si>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</si>
  <si>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</si>
  <si>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</si>
  <si>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</si>
  <si>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</si>
  <si>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</si>
  <si>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</si>
  <si>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</si>
  <si>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</si>
  <si>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</si>
  <si>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</si>
  <si>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</si>
  <si>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</si>
  <si>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</si>
  <si>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</si>
  <si>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</si>
  <si>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</si>
  <si>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</si>
  <si>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</si>
  <si>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</si>
  <si>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</si>
  <si>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</si>
  <si>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</si>
  <si>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</si>
  <si>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</si>
  <si>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</si>
  <si>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</si>
  <si>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</si>
  <si>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</si>
  <si>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</si>
  <si>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</si>
  <si>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</si>
  <si>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</si>
  <si>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</si>
  <si>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</si>
  <si>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</si>
  <si>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</si>
  <si>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</si>
  <si>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</si>
  <si>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</si>
  <si>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</si>
  <si>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</si>
  <si>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</si>
  <si>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</si>
  <si>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</si>
  <si>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</si>
  <si>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</si>
  <si>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</si>
  <si>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</si>
  <si>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</si>
  <si>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</si>
  <si>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</si>
  <si>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</si>
  <si>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</si>
  <si>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</si>
  <si>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</si>
  <si>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</si>
  <si>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</si>
  <si>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</si>
  <si>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</si>
  <si>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</si>
  <si>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</si>
  <si>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</si>
  <si>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</si>
  <si>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</si>
  <si>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</si>
  <si>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</si>
  <si>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</si>
  <si>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</si>
  <si>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</si>
  <si>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</si>
  <si>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</si>
  <si>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</si>
  <si>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</si>
  <si>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</si>
  <si>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</si>
  <si>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</si>
  <si>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</si>
  <si>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</si>
  <si>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</si>
  <si>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</si>
  <si>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</si>
  <si>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</si>
  <si>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</si>
  <si>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</si>
  <si>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</si>
  <si>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</si>
  <si>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</si>
  <si>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</si>
  <si>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</si>
  <si>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</si>
  <si>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</si>
  <si>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</si>
  <si>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</si>
  <si>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</si>
  <si>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</si>
  <si>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</si>
  <si>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</si>
  <si>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</si>
  <si>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</si>
  <si>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</si>
  <si>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</si>
  <si>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</si>
  <si>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</si>
  <si>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</si>
  <si>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</si>
  <si>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</si>
  <si>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</si>
  <si>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</si>
  <si>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</si>
  <si>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</si>
  <si>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</si>
  <si>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</si>
  <si>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</si>
  <si>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</si>
  <si>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</si>
  <si>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</si>
  <si>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</si>
  <si>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</si>
  <si>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</si>
  <si>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</si>
  <si>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</si>
  <si>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</si>
  <si>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</si>
  <si>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</si>
  <si>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</si>
  <si>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</si>
  <si>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</si>
  <si>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</si>
  <si>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</si>
  <si>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</si>
  <si>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</si>
  <si>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</si>
  <si>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</si>
  <si>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</si>
  <si>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</si>
  <si>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</si>
  <si>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</si>
  <si>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</si>
  <si>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</si>
  <si>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</si>
  <si>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</si>
  <si>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</si>
  <si>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</si>
  <si>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</si>
  <si>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</si>
  <si>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</si>
  <si>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</si>
  <si>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</si>
  <si>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</si>
  <si>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</si>
  <si>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</si>
  <si>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</si>
  <si>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</si>
  <si>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</si>
  <si>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</si>
  <si>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</si>
  <si>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</si>
  <si>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</si>
  <si>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</si>
  <si>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</si>
  <si>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</si>
  <si>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</si>
  <si>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</si>
  <si>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</si>
  <si>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</si>
  <si>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</si>
  <si>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</si>
  <si>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</si>
  <si>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</si>
  <si>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</si>
  <si>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</si>
  <si>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</si>
  <si>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</si>
  <si>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</si>
  <si>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open</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</si>
  <si>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</si>
  <si>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</si>
  <si>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</si>
  <si>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</si>
  <si>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</si>
  <si>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</si>
  <si>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validator agent (opus), first review; re-confirmed and escalated in the second</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</si>
  <si>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</si>
  <si>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</si>
  <si>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</si>
  <si>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</si>
  <si>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</si>
  <si>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</si>
  <si>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</si>
  <si>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</si>
  <si>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</si>
  <si>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</si>
  <si>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</si>
  <si>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</si>
  <si>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</si>
  <si>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</si>
  <si>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</si>
  <si>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</si>
  <si>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</si>
  <si>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</si>
  <si>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</si>
  <si>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</si>
  <si>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</si>
  <si>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</si>
  <si>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</si>
  <si>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</si>
  <si>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</si>
  <si>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</si>
  <si>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</si>
  <si>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</si>
  <si>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</si>
  <si>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</si>
  <si>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</si>
  <si>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</si>
  <si>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</si>
  <si>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</si>
  <si>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</si>
  <si>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</si>
  <si>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</si>
  <si>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No test asserts ordering between priorities under contention.</t>
  </si>
  <si>
    <t xml:space="preserve">src/navanax/governor.py:L175</t>
  </si>
  <si>
    <t xml:space="preserve">https://github.com/spencerwon/navanax1/blob/feat/phase0-ingestion/src/navanax/governor.py#L175</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</si>
  <si>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</si>
  <si>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</si>
  <si>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</si>
  <si>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</si>
  <si>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</si>
  <si>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</si>
  <si>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</si>
  <si>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</si>
  <si>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</si>
  <si>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</si>
  <si>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</si>
  <si>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</si>
  <si>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</si>
  <si>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</si>
  <si>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</si>
  <si>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</si>
  <si>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</si>
  <si>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No test injects a writer failure.</t>
  </si>
  <si>
    <t xml:space="preserve">src/navanax/stream.py:L519</t>
  </si>
  <si>
    <t xml:space="preserve">https://github.com/spencerwon/navanax1/blob/feat/phase0-ingestion/src/navanax/stream.py#L519</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</si>
  <si>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</si>
  <si>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</si>
  <si>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</si>
  <si>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</si>
  <si>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</si>
  <si>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</si>
  <si>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</si>
  <si>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</si>
  <si>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</si>
  <si>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</si>
  <si>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</si>
  <si>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</si>
  <si>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</si>
  <si>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</si>
  <si>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</si>
  <si>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</si>
  <si>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</si>
  <si>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</si>
  <si>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</si>
  <si>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</si>
  <si>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</si>
  <si>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</si>
  <si>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</si>
  <si>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</si>
  <si>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</si>
  <si>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</si>
  <si>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</si>
  <si>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</si>
  <si>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</si>
  <si>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</si>
  <si>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</si>
  <si>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</si>
  <si>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</si>
  <si>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</si>
  <si>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</si>
  <si>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</si>
  <si>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</si>
  <si>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</si>
  <si>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</si>
  <si>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</si>
  <si>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</si>
  <si>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</si>
  <si>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</si>
  <si>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</si>
  <si>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</si>
  <si>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</si>
  <si>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</si>
  <si>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</si>
  <si>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</si>
  <si>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</si>
  <si>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</si>
  <si>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</si>
  <si>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</si>
  <si>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</si>
  <si>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</si>
  <si>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</si>
  <si>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</si>
  <si>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</si>
  <si>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</si>
  <si>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</si>
  <si>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</si>
  <si>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</si>
  <si>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</si>
  <si>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</si>
  <si>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</si>
  <si>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</si>
  <si>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</si>
  <si>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</si>
  <si>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</si>
  <si>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</si>
  <si>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</si>
  <si>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</si>
  <si>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</si>
  <si>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</si>
  <si>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</si>
  <si>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</si>
  <si>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</si>
  <si>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</si>
  <si>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</si>
  <si>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</si>
  <si>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</si>
  <si>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</si>
  <si>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</si>
  <si>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</si>
  <si>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</si>
  <si>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</si>
  <si>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</si>
  <si>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</si>
  <si>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</si>
  <si>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</si>
  <si>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</si>
  <si>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</si>
  <si>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</si>
  <si>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</si>
  <si>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</si>
  <si>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</si>
  <si>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</si>
  <si>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</si>
  <si>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</si>
  <si>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</si>
  <si>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</si>
  <si>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</si>
  <si>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</si>
  <si>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</si>
  <si>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</si>
  <si>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</si>
  <si>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</si>
  <si>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</si>
  <si>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</si>
  <si>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</si>
  <si>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</si>
  <si>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</si>
  <si>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</si>
  <si>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</si>
  <si>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</si>
  <si>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</si>
  <si>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</si>
  <si>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</si>
  <si>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</si>
  <si>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</si>
  <si>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</si>
  <si>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</si>
  <si>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</si>
  <si>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</si>
  <si>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SEC</t>
  </si>
  <si>
    <t xml:space="preserve">Security</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</si>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</sst>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FFC7CE"/>
        <bgColor rgb="FFD9D9D9"/>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1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29" headerRowCount="1" totalsRowCount="0" totalsRowShown="0">
  <autoFilter ref="A1:AA2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11" t="s">
        <v>195</v>
      </c>
      <c r="L13" s="3" t="s">
        <v>196</v>
      </c>
      <c r="M13" s="3" t="s">
        <v>197</v>
      </c>
      <c r="N13" s="3" t="s">
        <v>198</v>
      </c>
      <c r="O13" s="3"/>
      <c r="P13" s="3" t="s">
        <v>199</v>
      </c>
      <c r="Q13" s="6" t="s">
        <v>81</v>
      </c>
      <c r="R13" s="3" t="s">
        <v>44</v>
      </c>
      <c r="S13" s="6" t="s">
        <v>200</v>
      </c>
      <c r="T13" s="7" t="s">
        <v>201</v>
      </c>
      <c r="U13" s="6"/>
      <c r="V13" s="3" t="s">
        <v>202</v>
      </c>
      <c r="W13" s="3" t="s">
        <v>121</v>
      </c>
      <c r="X13" s="3"/>
      <c r="Y13" s="3" t="s">
        <v>122</v>
      </c>
      <c r="Z13" s="3"/>
      <c r="AA13" s="7" t="s">
        <v>53</v>
      </c>
    </row>
    <row r="14" customFormat="false" ht="120" hidden="false" customHeight="true" outlineLevel="0" collapsed="false">
      <c r="A14" s="2" t="s">
        <v>203</v>
      </c>
      <c r="B14" s="3" t="s">
        <v>28</v>
      </c>
      <c r="C14" s="3" t="s">
        <v>111</v>
      </c>
      <c r="D14" s="4" t="s">
        <v>30</v>
      </c>
      <c r="E14" s="3" t="s">
        <v>31</v>
      </c>
      <c r="F14" s="3" t="s">
        <v>32</v>
      </c>
      <c r="G14" s="3" t="s">
        <v>94</v>
      </c>
      <c r="H14" s="3" t="s">
        <v>95</v>
      </c>
      <c r="I14" s="3" t="s">
        <v>59</v>
      </c>
      <c r="J14" s="3" t="s">
        <v>60</v>
      </c>
      <c r="K14" s="11" t="s">
        <v>195</v>
      </c>
      <c r="L14" s="3" t="s">
        <v>204</v>
      </c>
      <c r="M14" s="3" t="s">
        <v>205</v>
      </c>
      <c r="N14" s="3" t="s">
        <v>206</v>
      </c>
      <c r="O14" s="3"/>
      <c r="P14" s="3" t="s">
        <v>207</v>
      </c>
      <c r="Q14" s="6" t="s">
        <v>208</v>
      </c>
      <c r="R14" s="3" t="s">
        <v>44</v>
      </c>
      <c r="S14" s="6" t="s">
        <v>209</v>
      </c>
      <c r="T14" s="7" t="s">
        <v>210</v>
      </c>
      <c r="U14" s="6"/>
      <c r="V14" s="3" t="s">
        <v>211</v>
      </c>
      <c r="W14" s="3" t="s">
        <v>121</v>
      </c>
      <c r="X14" s="3"/>
      <c r="Y14" s="3" t="s">
        <v>122</v>
      </c>
      <c r="Z14" s="3"/>
      <c r="AA14" s="7" t="s">
        <v>53</v>
      </c>
    </row>
    <row r="15" customFormat="false" ht="120" hidden="false" customHeight="true" outlineLevel="0" collapsed="false">
      <c r="A15" s="2" t="s">
        <v>212</v>
      </c>
      <c r="B15" s="3" t="s">
        <v>28</v>
      </c>
      <c r="C15" s="3" t="s">
        <v>111</v>
      </c>
      <c r="D15" s="4" t="s">
        <v>30</v>
      </c>
      <c r="E15" s="3" t="s">
        <v>31</v>
      </c>
      <c r="F15" s="3" t="s">
        <v>32</v>
      </c>
      <c r="G15" s="3" t="s">
        <v>94</v>
      </c>
      <c r="H15" s="3" t="s">
        <v>95</v>
      </c>
      <c r="I15" s="3" t="s">
        <v>35</v>
      </c>
      <c r="J15" s="3" t="s">
        <v>36</v>
      </c>
      <c r="K15" s="5" t="s">
        <v>37</v>
      </c>
      <c r="L15" s="3" t="s">
        <v>213</v>
      </c>
      <c r="M15" s="3" t="s">
        <v>214</v>
      </c>
      <c r="N15" s="3" t="s">
        <v>215</v>
      </c>
      <c r="O15" s="3" t="s">
        <v>216</v>
      </c>
      <c r="P15" s="3" t="s">
        <v>217</v>
      </c>
      <c r="Q15" s="6" t="s">
        <v>81</v>
      </c>
      <c r="R15" s="3" t="s">
        <v>44</v>
      </c>
      <c r="S15" s="6" t="s">
        <v>218</v>
      </c>
      <c r="T15" s="7" t="s">
        <v>219</v>
      </c>
      <c r="U15" s="6" t="s">
        <v>220</v>
      </c>
      <c r="V15" s="3" t="s">
        <v>221</v>
      </c>
      <c r="W15" s="3" t="s">
        <v>121</v>
      </c>
      <c r="X15" s="3"/>
      <c r="Y15" s="3" t="s">
        <v>122</v>
      </c>
      <c r="Z15" s="3" t="s">
        <v>222</v>
      </c>
      <c r="AA15" s="7" t="s">
        <v>53</v>
      </c>
    </row>
    <row r="16" customFormat="false" ht="120" hidden="false" customHeight="true" outlineLevel="0" collapsed="false">
      <c r="A16" s="2" t="s">
        <v>223</v>
      </c>
      <c r="B16" s="3" t="s">
        <v>28</v>
      </c>
      <c r="C16" s="3" t="s">
        <v>111</v>
      </c>
      <c r="D16" s="8" t="s">
        <v>56</v>
      </c>
      <c r="E16" s="3" t="s">
        <v>57</v>
      </c>
      <c r="F16" s="3" t="s">
        <v>58</v>
      </c>
      <c r="G16" s="3" t="s">
        <v>224</v>
      </c>
      <c r="H16" s="3" t="s">
        <v>225</v>
      </c>
      <c r="I16" s="3" t="s">
        <v>35</v>
      </c>
      <c r="J16" s="3" t="s">
        <v>36</v>
      </c>
      <c r="K16" s="5" t="s">
        <v>37</v>
      </c>
      <c r="L16" s="3" t="s">
        <v>226</v>
      </c>
      <c r="M16" s="3" t="s">
        <v>227</v>
      </c>
      <c r="N16" s="3" t="s">
        <v>228</v>
      </c>
      <c r="O16" s="3" t="s">
        <v>229</v>
      </c>
      <c r="P16" s="3" t="s">
        <v>230</v>
      </c>
      <c r="Q16" s="6" t="s">
        <v>231</v>
      </c>
      <c r="R16" s="3" t="s">
        <v>44</v>
      </c>
      <c r="S16" s="6" t="s">
        <v>232</v>
      </c>
      <c r="T16" s="7" t="s">
        <v>233</v>
      </c>
      <c r="U16" s="6" t="s">
        <v>234</v>
      </c>
      <c r="V16" s="3" t="s">
        <v>221</v>
      </c>
      <c r="W16" s="3" t="s">
        <v>121</v>
      </c>
      <c r="X16" s="3"/>
      <c r="Y16" s="3" t="s">
        <v>122</v>
      </c>
      <c r="Z16" s="3" t="s">
        <v>222</v>
      </c>
      <c r="AA16" s="7" t="s">
        <v>53</v>
      </c>
    </row>
    <row r="17" customFormat="false" ht="120" hidden="false" customHeight="true" outlineLevel="0" collapsed="false">
      <c r="A17" s="2" t="s">
        <v>235</v>
      </c>
      <c r="B17" s="3" t="s">
        <v>28</v>
      </c>
      <c r="C17" s="3" t="s">
        <v>111</v>
      </c>
      <c r="D17" s="8" t="s">
        <v>56</v>
      </c>
      <c r="E17" s="3" t="s">
        <v>57</v>
      </c>
      <c r="F17" s="3" t="s">
        <v>58</v>
      </c>
      <c r="G17" s="3" t="s">
        <v>236</v>
      </c>
      <c r="H17" s="3" t="s">
        <v>93</v>
      </c>
      <c r="I17" s="3" t="s">
        <v>193</v>
      </c>
      <c r="J17" s="3" t="s">
        <v>194</v>
      </c>
      <c r="K17" s="11" t="s">
        <v>195</v>
      </c>
      <c r="L17" s="3" t="s">
        <v>237</v>
      </c>
      <c r="M17" s="3" t="s">
        <v>238</v>
      </c>
      <c r="N17" s="3" t="s">
        <v>239</v>
      </c>
      <c r="O17" s="3"/>
      <c r="P17" s="3" t="s">
        <v>240</v>
      </c>
      <c r="Q17" s="6" t="s">
        <v>81</v>
      </c>
      <c r="R17" s="3" t="s">
        <v>44</v>
      </c>
      <c r="S17" s="6" t="s">
        <v>241</v>
      </c>
      <c r="T17" s="7" t="s">
        <v>242</v>
      </c>
      <c r="U17" s="6"/>
      <c r="V17" s="3" t="s">
        <v>221</v>
      </c>
      <c r="W17" s="3" t="s">
        <v>121</v>
      </c>
      <c r="X17" s="3"/>
      <c r="Y17" s="3" t="s">
        <v>122</v>
      </c>
      <c r="Z17" s="3"/>
      <c r="AA17" s="7" t="s">
        <v>53</v>
      </c>
    </row>
    <row r="18" customFormat="false" ht="120" hidden="false" customHeight="true" outlineLevel="0" collapsed="false">
      <c r="A18" s="2" t="s">
        <v>243</v>
      </c>
      <c r="B18" s="3" t="s">
        <v>28</v>
      </c>
      <c r="C18" s="3" t="s">
        <v>111</v>
      </c>
      <c r="D18" s="4" t="s">
        <v>30</v>
      </c>
      <c r="E18" s="3" t="s">
        <v>31</v>
      </c>
      <c r="F18" s="3" t="s">
        <v>32</v>
      </c>
      <c r="G18" s="3" t="s">
        <v>94</v>
      </c>
      <c r="H18" s="3" t="s">
        <v>95</v>
      </c>
      <c r="I18" s="3" t="s">
        <v>244</v>
      </c>
      <c r="J18" s="3" t="s">
        <v>245</v>
      </c>
      <c r="K18" s="11" t="s">
        <v>195</v>
      </c>
      <c r="L18" s="3" t="s">
        <v>246</v>
      </c>
      <c r="M18" s="3" t="s">
        <v>247</v>
      </c>
      <c r="N18" s="3" t="s">
        <v>248</v>
      </c>
      <c r="O18" s="3"/>
      <c r="P18" s="3" t="s">
        <v>249</v>
      </c>
      <c r="Q18" s="6" t="s">
        <v>250</v>
      </c>
      <c r="R18" s="3" t="s">
        <v>44</v>
      </c>
      <c r="S18" s="6" t="s">
        <v>251</v>
      </c>
      <c r="T18" s="7" t="s">
        <v>252</v>
      </c>
      <c r="U18" s="6"/>
      <c r="V18" s="3" t="s">
        <v>253</v>
      </c>
      <c r="W18" s="3" t="s">
        <v>121</v>
      </c>
      <c r="X18" s="3"/>
      <c r="Y18" s="3" t="s">
        <v>122</v>
      </c>
      <c r="Z18" s="3"/>
      <c r="AA18" s="7" t="s">
        <v>53</v>
      </c>
    </row>
    <row r="19" customFormat="false" ht="120" hidden="false" customHeight="true" outlineLevel="0" collapsed="false">
      <c r="A19" s="2" t="s">
        <v>254</v>
      </c>
      <c r="B19" s="3" t="s">
        <v>28</v>
      </c>
      <c r="C19" s="3" t="s">
        <v>111</v>
      </c>
      <c r="D19" s="8" t="s">
        <v>56</v>
      </c>
      <c r="E19" s="3" t="s">
        <v>57</v>
      </c>
      <c r="F19" s="3" t="s">
        <v>58</v>
      </c>
      <c r="G19" s="3" t="s">
        <v>224</v>
      </c>
      <c r="H19" s="3" t="s">
        <v>225</v>
      </c>
      <c r="I19" s="3" t="s">
        <v>255</v>
      </c>
      <c r="J19" s="3" t="s">
        <v>256</v>
      </c>
      <c r="K19" s="11" t="s">
        <v>195</v>
      </c>
      <c r="L19" s="3" t="s">
        <v>257</v>
      </c>
      <c r="M19" s="3" t="s">
        <v>258</v>
      </c>
      <c r="N19" s="3" t="s">
        <v>259</v>
      </c>
      <c r="O19" s="3"/>
      <c r="P19" s="3" t="s">
        <v>260</v>
      </c>
      <c r="Q19" s="6" t="s">
        <v>154</v>
      </c>
      <c r="R19" s="3" t="s">
        <v>44</v>
      </c>
      <c r="S19" s="6" t="s">
        <v>261</v>
      </c>
      <c r="T19" s="7" t="s">
        <v>262</v>
      </c>
      <c r="U19" s="6"/>
      <c r="V19" s="3" t="s">
        <v>221</v>
      </c>
      <c r="W19" s="3" t="s">
        <v>121</v>
      </c>
      <c r="X19" s="3"/>
      <c r="Y19" s="3" t="s">
        <v>122</v>
      </c>
      <c r="Z19" s="3"/>
      <c r="AA19" s="7" t="s">
        <v>53</v>
      </c>
    </row>
    <row r="20" customFormat="false" ht="120" hidden="false" customHeight="true" outlineLevel="0" collapsed="false">
      <c r="A20" s="2" t="s">
        <v>263</v>
      </c>
      <c r="B20" s="3" t="s">
        <v>28</v>
      </c>
      <c r="C20" s="3" t="s">
        <v>264</v>
      </c>
      <c r="D20" s="8" t="s">
        <v>56</v>
      </c>
      <c r="E20" s="3" t="s">
        <v>57</v>
      </c>
      <c r="F20" s="3" t="s">
        <v>58</v>
      </c>
      <c r="G20" s="3" t="s">
        <v>33</v>
      </c>
      <c r="H20" s="3" t="s">
        <v>34</v>
      </c>
      <c r="I20" s="3" t="s">
        <v>255</v>
      </c>
      <c r="J20" s="3" t="s">
        <v>256</v>
      </c>
      <c r="K20" s="5" t="s">
        <v>37</v>
      </c>
      <c r="L20" s="3" t="s">
        <v>265</v>
      </c>
      <c r="M20" s="3" t="s">
        <v>266</v>
      </c>
      <c r="N20" s="3" t="s">
        <v>267</v>
      </c>
      <c r="O20" s="3" t="s">
        <v>268</v>
      </c>
      <c r="P20" s="3" t="s">
        <v>269</v>
      </c>
      <c r="Q20" s="6" t="s">
        <v>101</v>
      </c>
      <c r="R20" s="3" t="s">
        <v>44</v>
      </c>
      <c r="S20" s="6" t="s">
        <v>270</v>
      </c>
      <c r="T20" s="7" t="s">
        <v>271</v>
      </c>
      <c r="U20" s="6" t="s">
        <v>272</v>
      </c>
      <c r="V20" s="3" t="s">
        <v>273</v>
      </c>
      <c r="W20" s="3" t="s">
        <v>121</v>
      </c>
      <c r="X20" s="3" t="s">
        <v>107</v>
      </c>
      <c r="Y20" s="3" t="s">
        <v>274</v>
      </c>
      <c r="Z20" s="3" t="s">
        <v>275</v>
      </c>
      <c r="AA20" s="7" t="s">
        <v>53</v>
      </c>
    </row>
    <row r="21" customFormat="false" ht="120" hidden="false" customHeight="true" outlineLevel="0" collapsed="false">
      <c r="A21" s="2" t="s">
        <v>276</v>
      </c>
      <c r="B21" s="3" t="s">
        <v>28</v>
      </c>
      <c r="C21" s="3" t="s">
        <v>277</v>
      </c>
      <c r="D21" s="4" t="s">
        <v>30</v>
      </c>
      <c r="E21" s="3" t="s">
        <v>31</v>
      </c>
      <c r="F21" s="3" t="s">
        <v>32</v>
      </c>
      <c r="G21" s="3" t="s">
        <v>33</v>
      </c>
      <c r="H21" s="3" t="s">
        <v>34</v>
      </c>
      <c r="I21" s="3" t="s">
        <v>59</v>
      </c>
      <c r="J21" s="3" t="s">
        <v>60</v>
      </c>
      <c r="K21" s="5" t="s">
        <v>37</v>
      </c>
      <c r="L21" s="3" t="s">
        <v>278</v>
      </c>
      <c r="M21" s="3" t="s">
        <v>279</v>
      </c>
      <c r="N21" s="3" t="s">
        <v>280</v>
      </c>
      <c r="O21" s="3" t="s">
        <v>281</v>
      </c>
      <c r="P21" s="3" t="s">
        <v>282</v>
      </c>
      <c r="Q21" s="6" t="s">
        <v>144</v>
      </c>
      <c r="R21" s="3" t="s">
        <v>44</v>
      </c>
      <c r="S21" s="6" t="s">
        <v>283</v>
      </c>
      <c r="T21" s="7" t="s">
        <v>284</v>
      </c>
      <c r="U21" s="6" t="s">
        <v>285</v>
      </c>
      <c r="V21" s="3" t="s">
        <v>273</v>
      </c>
      <c r="W21" s="3" t="s">
        <v>121</v>
      </c>
      <c r="X21" s="3" t="s">
        <v>123</v>
      </c>
      <c r="Y21" s="3" t="s">
        <v>286</v>
      </c>
      <c r="Z21" s="3" t="s">
        <v>287</v>
      </c>
      <c r="AA21" s="7" t="s">
        <v>53</v>
      </c>
    </row>
    <row r="22" customFormat="false" ht="120" hidden="false" customHeight="true" outlineLevel="0" collapsed="false">
      <c r="A22" s="2" t="s">
        <v>288</v>
      </c>
      <c r="B22" s="3" t="s">
        <v>28</v>
      </c>
      <c r="C22" s="3" t="s">
        <v>277</v>
      </c>
      <c r="D22" s="4" t="s">
        <v>30</v>
      </c>
      <c r="E22" s="3" t="s">
        <v>31</v>
      </c>
      <c r="F22" s="3" t="s">
        <v>32</v>
      </c>
      <c r="G22" s="3" t="s">
        <v>33</v>
      </c>
      <c r="H22" s="3" t="s">
        <v>34</v>
      </c>
      <c r="I22" s="3" t="s">
        <v>59</v>
      </c>
      <c r="J22" s="3" t="s">
        <v>60</v>
      </c>
      <c r="K22" s="5" t="s">
        <v>37</v>
      </c>
      <c r="L22" s="3" t="s">
        <v>289</v>
      </c>
      <c r="M22" s="3" t="s">
        <v>290</v>
      </c>
      <c r="N22" s="3" t="s">
        <v>291</v>
      </c>
      <c r="O22" s="3" t="s">
        <v>292</v>
      </c>
      <c r="P22" s="3" t="s">
        <v>293</v>
      </c>
      <c r="Q22" s="6" t="s">
        <v>144</v>
      </c>
      <c r="R22" s="3" t="s">
        <v>44</v>
      </c>
      <c r="S22" s="6" t="s">
        <v>294</v>
      </c>
      <c r="T22" s="7" t="s">
        <v>295</v>
      </c>
      <c r="U22" s="6" t="s">
        <v>296</v>
      </c>
      <c r="V22" s="3" t="s">
        <v>273</v>
      </c>
      <c r="W22" s="3" t="s">
        <v>121</v>
      </c>
      <c r="X22" s="3" t="s">
        <v>123</v>
      </c>
      <c r="Y22" s="3" t="s">
        <v>286</v>
      </c>
      <c r="Z22" s="3" t="s">
        <v>287</v>
      </c>
      <c r="AA22" s="7" t="s">
        <v>53</v>
      </c>
    </row>
    <row r="23" customFormat="false" ht="120" hidden="false" customHeight="true" outlineLevel="0" collapsed="false">
      <c r="A23" s="2" t="s">
        <v>297</v>
      </c>
      <c r="B23" s="3" t="s">
        <v>28</v>
      </c>
      <c r="C23" s="3" t="s">
        <v>277</v>
      </c>
      <c r="D23" s="4" t="s">
        <v>30</v>
      </c>
      <c r="E23" s="3" t="s">
        <v>31</v>
      </c>
      <c r="F23" s="3" t="s">
        <v>32</v>
      </c>
      <c r="G23" s="3" t="s">
        <v>33</v>
      </c>
      <c r="H23" s="3" t="s">
        <v>34</v>
      </c>
      <c r="I23" s="3" t="s">
        <v>59</v>
      </c>
      <c r="J23" s="3" t="s">
        <v>60</v>
      </c>
      <c r="K23" s="5" t="s">
        <v>37</v>
      </c>
      <c r="L23" s="3" t="s">
        <v>298</v>
      </c>
      <c r="M23" s="3" t="s">
        <v>299</v>
      </c>
      <c r="N23" s="3" t="s">
        <v>300</v>
      </c>
      <c r="O23" s="3" t="s">
        <v>301</v>
      </c>
      <c r="P23" s="3" t="s">
        <v>302</v>
      </c>
      <c r="Q23" s="6" t="s">
        <v>144</v>
      </c>
      <c r="R23" s="3" t="s">
        <v>44</v>
      </c>
      <c r="S23" s="6" t="s">
        <v>303</v>
      </c>
      <c r="T23" s="7" t="s">
        <v>304</v>
      </c>
      <c r="U23" s="6" t="s">
        <v>305</v>
      </c>
      <c r="V23" s="3" t="s">
        <v>306</v>
      </c>
      <c r="W23" s="3" t="s">
        <v>121</v>
      </c>
      <c r="X23" s="3" t="s">
        <v>134</v>
      </c>
      <c r="Y23" s="3" t="s">
        <v>286</v>
      </c>
      <c r="Z23" s="3" t="s">
        <v>287</v>
      </c>
      <c r="AA23" s="7" t="s">
        <v>53</v>
      </c>
    </row>
    <row r="24" customFormat="false" ht="120" hidden="false" customHeight="true" outlineLevel="0" collapsed="false">
      <c r="A24" s="2" t="s">
        <v>307</v>
      </c>
      <c r="B24" s="3" t="s">
        <v>28</v>
      </c>
      <c r="C24" s="3" t="s">
        <v>308</v>
      </c>
      <c r="D24" s="4" t="s">
        <v>30</v>
      </c>
      <c r="E24" s="3" t="s">
        <v>31</v>
      </c>
      <c r="F24" s="3" t="s">
        <v>32</v>
      </c>
      <c r="G24" s="3" t="s">
        <v>33</v>
      </c>
      <c r="H24" s="3" t="s">
        <v>34</v>
      </c>
      <c r="I24" s="3" t="s">
        <v>59</v>
      </c>
      <c r="J24" s="3" t="s">
        <v>60</v>
      </c>
      <c r="K24" s="5" t="s">
        <v>37</v>
      </c>
      <c r="L24" s="3" t="s">
        <v>309</v>
      </c>
      <c r="M24" s="3" t="s">
        <v>310</v>
      </c>
      <c r="N24" s="3" t="s">
        <v>311</v>
      </c>
      <c r="O24" s="3" t="s">
        <v>312</v>
      </c>
      <c r="P24" s="3" t="s">
        <v>313</v>
      </c>
      <c r="Q24" s="6" t="s">
        <v>154</v>
      </c>
      <c r="R24" s="3" t="s">
        <v>44</v>
      </c>
      <c r="S24" s="6" t="s">
        <v>314</v>
      </c>
      <c r="T24" s="7" t="s">
        <v>315</v>
      </c>
      <c r="U24" s="6" t="s">
        <v>316</v>
      </c>
      <c r="V24" s="3" t="s">
        <v>317</v>
      </c>
      <c r="W24" s="3" t="s">
        <v>318</v>
      </c>
      <c r="X24" s="3" t="s">
        <v>287</v>
      </c>
      <c r="Y24" s="3" t="s">
        <v>319</v>
      </c>
      <c r="Z24" s="3" t="s">
        <v>320</v>
      </c>
      <c r="AA24" s="7" t="s">
        <v>53</v>
      </c>
    </row>
    <row r="25" customFormat="false" ht="120" hidden="false" customHeight="true" outlineLevel="0" collapsed="false">
      <c r="A25" s="2" t="s">
        <v>321</v>
      </c>
      <c r="B25" s="3" t="s">
        <v>28</v>
      </c>
      <c r="C25" s="3" t="s">
        <v>277</v>
      </c>
      <c r="D25" s="4" t="s">
        <v>30</v>
      </c>
      <c r="E25" s="3" t="s">
        <v>31</v>
      </c>
      <c r="F25" s="3" t="s">
        <v>32</v>
      </c>
      <c r="G25" s="3" t="s">
        <v>33</v>
      </c>
      <c r="H25" s="3" t="s">
        <v>34</v>
      </c>
      <c r="I25" s="3" t="s">
        <v>59</v>
      </c>
      <c r="J25" s="3" t="s">
        <v>60</v>
      </c>
      <c r="K25" s="5" t="s">
        <v>37</v>
      </c>
      <c r="L25" s="3" t="s">
        <v>322</v>
      </c>
      <c r="M25" s="3" t="s">
        <v>323</v>
      </c>
      <c r="N25" s="3" t="s">
        <v>324</v>
      </c>
      <c r="O25" s="3" t="s">
        <v>325</v>
      </c>
      <c r="P25" s="3" t="s">
        <v>326</v>
      </c>
      <c r="Q25" s="6" t="s">
        <v>130</v>
      </c>
      <c r="R25" s="3" t="s">
        <v>44</v>
      </c>
      <c r="S25" s="6" t="s">
        <v>327</v>
      </c>
      <c r="T25" s="7" t="s">
        <v>328</v>
      </c>
      <c r="U25" s="6" t="s">
        <v>176</v>
      </c>
      <c r="V25" s="3" t="s">
        <v>273</v>
      </c>
      <c r="W25" s="3" t="s">
        <v>121</v>
      </c>
      <c r="X25" s="3" t="s">
        <v>123</v>
      </c>
      <c r="Y25" s="3" t="s">
        <v>286</v>
      </c>
      <c r="Z25" s="3" t="s">
        <v>287</v>
      </c>
      <c r="AA25" s="7" t="s">
        <v>53</v>
      </c>
    </row>
    <row r="26" customFormat="false" ht="120" hidden="false" customHeight="true" outlineLevel="0" collapsed="false">
      <c r="A26" s="2" t="s">
        <v>329</v>
      </c>
      <c r="B26" s="3" t="s">
        <v>28</v>
      </c>
      <c r="C26" s="3" t="s">
        <v>277</v>
      </c>
      <c r="D26" s="10" t="s">
        <v>136</v>
      </c>
      <c r="E26" s="3" t="s">
        <v>137</v>
      </c>
      <c r="F26" s="3" t="s">
        <v>138</v>
      </c>
      <c r="G26" s="3" t="s">
        <v>94</v>
      </c>
      <c r="H26" s="3" t="s">
        <v>95</v>
      </c>
      <c r="I26" s="3" t="s">
        <v>59</v>
      </c>
      <c r="J26" s="3" t="s">
        <v>60</v>
      </c>
      <c r="K26" s="5" t="s">
        <v>37</v>
      </c>
      <c r="L26" s="3" t="s">
        <v>330</v>
      </c>
      <c r="M26" s="3" t="s">
        <v>331</v>
      </c>
      <c r="N26" s="3" t="s">
        <v>332</v>
      </c>
      <c r="O26" s="3" t="s">
        <v>333</v>
      </c>
      <c r="P26" s="3" t="s">
        <v>334</v>
      </c>
      <c r="Q26" s="6" t="s">
        <v>154</v>
      </c>
      <c r="R26" s="3" t="s">
        <v>44</v>
      </c>
      <c r="S26" s="6" t="s">
        <v>335</v>
      </c>
      <c r="T26" s="7" t="s">
        <v>336</v>
      </c>
      <c r="U26" s="6" t="s">
        <v>337</v>
      </c>
      <c r="V26" s="3" t="s">
        <v>273</v>
      </c>
      <c r="W26" s="3" t="s">
        <v>121</v>
      </c>
      <c r="X26" s="3" t="s">
        <v>123</v>
      </c>
      <c r="Y26" s="3" t="s">
        <v>286</v>
      </c>
      <c r="Z26" s="3" t="s">
        <v>287</v>
      </c>
      <c r="AA26" s="7" t="s">
        <v>53</v>
      </c>
    </row>
    <row r="27" customFormat="false" ht="120" hidden="false" customHeight="true" outlineLevel="0" collapsed="false">
      <c r="A27" s="2" t="s">
        <v>338</v>
      </c>
      <c r="B27" s="3" t="s">
        <v>28</v>
      </c>
      <c r="C27" s="3" t="s">
        <v>277</v>
      </c>
      <c r="D27" s="8" t="s">
        <v>56</v>
      </c>
      <c r="E27" s="3" t="s">
        <v>57</v>
      </c>
      <c r="F27" s="3" t="s">
        <v>58</v>
      </c>
      <c r="G27" s="3" t="s">
        <v>94</v>
      </c>
      <c r="H27" s="3" t="s">
        <v>95</v>
      </c>
      <c r="I27" s="3" t="s">
        <v>59</v>
      </c>
      <c r="J27" s="3" t="s">
        <v>60</v>
      </c>
      <c r="K27" s="5" t="s">
        <v>37</v>
      </c>
      <c r="L27" s="3" t="s">
        <v>339</v>
      </c>
      <c r="M27" s="3" t="s">
        <v>340</v>
      </c>
      <c r="N27" s="3" t="s">
        <v>341</v>
      </c>
      <c r="O27" s="3" t="s">
        <v>342</v>
      </c>
      <c r="P27" s="3" t="s">
        <v>343</v>
      </c>
      <c r="Q27" s="6" t="s">
        <v>43</v>
      </c>
      <c r="R27" s="3" t="s">
        <v>44</v>
      </c>
      <c r="S27" s="6" t="s">
        <v>344</v>
      </c>
      <c r="T27" s="7" t="s">
        <v>345</v>
      </c>
      <c r="U27" s="6" t="s">
        <v>346</v>
      </c>
      <c r="V27" s="3" t="s">
        <v>273</v>
      </c>
      <c r="W27" s="3" t="s">
        <v>121</v>
      </c>
      <c r="X27" s="3" t="s">
        <v>134</v>
      </c>
      <c r="Y27" s="3" t="s">
        <v>286</v>
      </c>
      <c r="Z27" s="3" t="s">
        <v>287</v>
      </c>
      <c r="AA27" s="7" t="s">
        <v>53</v>
      </c>
    </row>
    <row r="28" customFormat="false" ht="120" hidden="false" customHeight="true" outlineLevel="0" collapsed="false">
      <c r="A28" s="2" t="s">
        <v>347</v>
      </c>
      <c r="B28" s="3" t="s">
        <v>28</v>
      </c>
      <c r="C28" s="3" t="s">
        <v>308</v>
      </c>
      <c r="D28" s="10" t="s">
        <v>136</v>
      </c>
      <c r="E28" s="3" t="s">
        <v>137</v>
      </c>
      <c r="F28" s="3" t="s">
        <v>138</v>
      </c>
      <c r="G28" s="3" t="s">
        <v>94</v>
      </c>
      <c r="H28" s="3" t="s">
        <v>95</v>
      </c>
      <c r="I28" s="3" t="s">
        <v>255</v>
      </c>
      <c r="J28" s="3" t="s">
        <v>256</v>
      </c>
      <c r="K28" s="5" t="s">
        <v>37</v>
      </c>
      <c r="L28" s="3" t="s">
        <v>348</v>
      </c>
      <c r="M28" s="3" t="s">
        <v>349</v>
      </c>
      <c r="N28" s="3" t="s">
        <v>350</v>
      </c>
      <c r="O28" s="3" t="s">
        <v>351</v>
      </c>
      <c r="P28" s="3" t="s">
        <v>352</v>
      </c>
      <c r="Q28" s="6" t="s">
        <v>154</v>
      </c>
      <c r="R28" s="3" t="s">
        <v>44</v>
      </c>
      <c r="S28" s="6" t="s">
        <v>353</v>
      </c>
      <c r="T28" s="7" t="s">
        <v>354</v>
      </c>
      <c r="U28" s="6" t="s">
        <v>355</v>
      </c>
      <c r="V28" s="3" t="s">
        <v>356</v>
      </c>
      <c r="W28" s="3" t="s">
        <v>318</v>
      </c>
      <c r="X28" s="3" t="s">
        <v>287</v>
      </c>
      <c r="Y28" s="3" t="s">
        <v>319</v>
      </c>
      <c r="Z28" s="3" t="s">
        <v>320</v>
      </c>
      <c r="AA28" s="7" t="s">
        <v>53</v>
      </c>
    </row>
    <row r="29" customFormat="false" ht="120" hidden="false" customHeight="true" outlineLevel="0" collapsed="false">
      <c r="A29" s="2" t="s">
        <v>357</v>
      </c>
      <c r="B29" s="3" t="s">
        <v>28</v>
      </c>
      <c r="C29" s="3" t="s">
        <v>358</v>
      </c>
      <c r="D29" s="4" t="s">
        <v>30</v>
      </c>
      <c r="E29" s="3" t="s">
        <v>31</v>
      </c>
      <c r="F29" s="3" t="s">
        <v>32</v>
      </c>
      <c r="G29" s="3" t="s">
        <v>94</v>
      </c>
      <c r="H29" s="3" t="s">
        <v>95</v>
      </c>
      <c r="I29" s="3" t="s">
        <v>35</v>
      </c>
      <c r="J29" s="3" t="s">
        <v>36</v>
      </c>
      <c r="K29" s="5" t="s">
        <v>37</v>
      </c>
      <c r="L29" s="3" t="s">
        <v>359</v>
      </c>
      <c r="M29" s="3" t="s">
        <v>360</v>
      </c>
      <c r="N29" s="3" t="s">
        <v>361</v>
      </c>
      <c r="O29" s="3" t="s">
        <v>362</v>
      </c>
      <c r="P29" s="3" t="s">
        <v>363</v>
      </c>
      <c r="Q29" s="6" t="s">
        <v>81</v>
      </c>
      <c r="R29" s="3" t="s">
        <v>364</v>
      </c>
      <c r="S29" s="6" t="s">
        <v>365</v>
      </c>
      <c r="T29" s="7" t="s">
        <v>366</v>
      </c>
      <c r="U29" s="6" t="s">
        <v>220</v>
      </c>
      <c r="V29" s="3" t="s">
        <v>367</v>
      </c>
      <c r="W29" s="3" t="s">
        <v>368</v>
      </c>
      <c r="X29" s="3" t="s">
        <v>86</v>
      </c>
      <c r="Y29" s="3" t="s">
        <v>369</v>
      </c>
      <c r="Z29" s="3" t="s">
        <v>370</v>
      </c>
      <c r="AA29" s="7" t="s">
        <v>53</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2" t="s">
        <v>371</v>
      </c>
    </row>
    <row r="2" customFormat="false" ht="33.75" hidden="false" customHeight="true" outlineLevel="0" collapsed="false">
      <c r="A2" s="13" t="s">
        <v>372</v>
      </c>
      <c r="B2" s="13"/>
      <c r="C2" s="13"/>
      <c r="D2" s="13"/>
      <c r="E2" s="13"/>
    </row>
    <row r="4" customFormat="false" ht="15" hidden="false" customHeight="false" outlineLevel="0" collapsed="false">
      <c r="A4" s="14" t="s">
        <v>3</v>
      </c>
      <c r="B4" s="14" t="s">
        <v>373</v>
      </c>
      <c r="C4" s="14" t="s">
        <v>5</v>
      </c>
      <c r="D4" s="14" t="s">
        <v>374</v>
      </c>
      <c r="E4" s="14" t="s">
        <v>375</v>
      </c>
    </row>
    <row r="5" customFormat="false" ht="15" hidden="false" customHeight="false" outlineLevel="0" collapsed="false">
      <c r="A5" s="15" t="s">
        <v>376</v>
      </c>
      <c r="B5" s="16" t="s">
        <v>377</v>
      </c>
      <c r="C5" s="16" t="s">
        <v>378</v>
      </c>
      <c r="D5" s="16" t="n">
        <f aca="false">COUNTIFS('Bug log'!$D$2:$D$29,$A5,'Bug log'!$K$2:$K$29,"&lt;&gt;fixed")</f>
        <v>0</v>
      </c>
      <c r="E5" s="16" t="n">
        <f aca="false">COUNTIF('Bug log'!$D$2:$D$29,$A5)</f>
        <v>0</v>
      </c>
    </row>
    <row r="6" customFormat="false" ht="15" hidden="false" customHeight="false" outlineLevel="0" collapsed="false">
      <c r="A6" s="17" t="s">
        <v>379</v>
      </c>
      <c r="B6" s="16" t="s">
        <v>380</v>
      </c>
      <c r="C6" s="16" t="s">
        <v>381</v>
      </c>
      <c r="D6" s="16" t="n">
        <f aca="false">COUNTIFS('Bug log'!$D$2:$D$29,$A6,'Bug log'!$K$2:$K$29,"&lt;&gt;fixed")</f>
        <v>0</v>
      </c>
      <c r="E6" s="16" t="n">
        <f aca="false">COUNTIF('Bug log'!$D$2:$D$29,$A6)</f>
        <v>0</v>
      </c>
    </row>
    <row r="7" customFormat="false" ht="15" hidden="false" customHeight="false" outlineLevel="0" collapsed="false">
      <c r="A7" s="18" t="s">
        <v>30</v>
      </c>
      <c r="B7" s="16" t="s">
        <v>31</v>
      </c>
      <c r="C7" s="16" t="s">
        <v>32</v>
      </c>
      <c r="D7" s="16" t="n">
        <f aca="false">COUNTIFS('Bug log'!$D$2:$D$29,$A7,'Bug log'!$K$2:$K$29,"&lt;&gt;fixed")</f>
        <v>3</v>
      </c>
      <c r="E7" s="16" t="n">
        <f aca="false">COUNTIF('Bug log'!$D$2:$D$29,$A7)</f>
        <v>17</v>
      </c>
    </row>
    <row r="8" customFormat="false" ht="15" hidden="false" customHeight="false" outlineLevel="0" collapsed="false">
      <c r="A8" s="19" t="s">
        <v>136</v>
      </c>
      <c r="B8" s="16" t="s">
        <v>137</v>
      </c>
      <c r="C8" s="16" t="s">
        <v>138</v>
      </c>
      <c r="D8" s="16" t="n">
        <f aca="false">COUNTIFS('Bug log'!$D$2:$D$29,$A8,'Bug log'!$K$2:$K$29,"&lt;&gt;fixed")</f>
        <v>0</v>
      </c>
      <c r="E8" s="16" t="n">
        <f aca="false">COUNTIF('Bug log'!$D$2:$D$29,$A8)</f>
        <v>3</v>
      </c>
    </row>
    <row r="9" customFormat="false" ht="15" hidden="false" customHeight="false" outlineLevel="0" collapsed="false">
      <c r="A9" s="20" t="s">
        <v>56</v>
      </c>
      <c r="B9" s="16" t="s">
        <v>57</v>
      </c>
      <c r="C9" s="16" t="s">
        <v>58</v>
      </c>
      <c r="D9" s="16" t="n">
        <f aca="false">COUNTIFS('Bug log'!$D$2:$D$29,$A9,'Bug log'!$K$2:$K$29,"&lt;&gt;fixed")</f>
        <v>2</v>
      </c>
      <c r="E9" s="16" t="n">
        <f aca="false">COUNTIF('Bug log'!$D$2:$D$29,$A9)</f>
        <v>7</v>
      </c>
    </row>
    <row r="10" customFormat="false" ht="15" hidden="false" customHeight="false" outlineLevel="0" collapsed="false">
      <c r="A10" s="21" t="s">
        <v>91</v>
      </c>
      <c r="B10" s="16" t="s">
        <v>92</v>
      </c>
      <c r="C10" s="16" t="s">
        <v>93</v>
      </c>
      <c r="D10" s="16" t="n">
        <f aca="false">COUNTIFS('Bug log'!$D$2:$D$29,$A10,'Bug log'!$K$2:$K$29,"&lt;&gt;fixed")</f>
        <v>0</v>
      </c>
      <c r="E10" s="16" t="n">
        <f aca="false">COUNTIF('Bug log'!$D$2:$D$29,$A10)</f>
        <v>1</v>
      </c>
    </row>
    <row r="12" customFormat="false" ht="15" hidden="false" customHeight="false" outlineLevel="0" collapsed="false">
      <c r="A12" s="22" t="s">
        <v>6</v>
      </c>
    </row>
    <row r="13" customFormat="false" ht="15" hidden="false" customHeight="false" outlineLevel="0" collapsed="false">
      <c r="A13" s="23" t="s">
        <v>33</v>
      </c>
      <c r="B13" s="16" t="s">
        <v>34</v>
      </c>
    </row>
    <row r="14" customFormat="false" ht="15" hidden="false" customHeight="false" outlineLevel="0" collapsed="false">
      <c r="A14" s="23" t="s">
        <v>94</v>
      </c>
      <c r="B14" s="16" t="s">
        <v>95</v>
      </c>
    </row>
    <row r="15" customFormat="false" ht="15" hidden="false" customHeight="false" outlineLevel="0" collapsed="false">
      <c r="A15" s="23" t="s">
        <v>224</v>
      </c>
      <c r="B15" s="16" t="s">
        <v>225</v>
      </c>
    </row>
    <row r="16" customFormat="false" ht="15" hidden="false" customHeight="false" outlineLevel="0" collapsed="false">
      <c r="A16" s="23" t="s">
        <v>236</v>
      </c>
      <c r="B16" s="16" t="s">
        <v>93</v>
      </c>
    </row>
    <row r="18" customFormat="false" ht="15" hidden="false" customHeight="false" outlineLevel="0" collapsed="false">
      <c r="A18" s="22" t="s">
        <v>382</v>
      </c>
    </row>
    <row r="19" customFormat="false" ht="15" hidden="false" customHeight="false" outlineLevel="0" collapsed="false">
      <c r="A19" s="23" t="s">
        <v>35</v>
      </c>
      <c r="B19" s="16" t="s">
        <v>36</v>
      </c>
    </row>
    <row r="20" customFormat="false" ht="15" hidden="false" customHeight="false" outlineLevel="0" collapsed="false">
      <c r="A20" s="23" t="s">
        <v>59</v>
      </c>
      <c r="B20" s="16" t="s">
        <v>60</v>
      </c>
    </row>
    <row r="21" customFormat="false" ht="15" hidden="false" customHeight="false" outlineLevel="0" collapsed="false">
      <c r="A21" s="23" t="s">
        <v>383</v>
      </c>
      <c r="B21" s="16" t="s">
        <v>384</v>
      </c>
    </row>
    <row r="22" customFormat="false" ht="15" hidden="false" customHeight="false" outlineLevel="0" collapsed="false">
      <c r="A22" s="23" t="s">
        <v>385</v>
      </c>
      <c r="B22" s="16" t="s">
        <v>386</v>
      </c>
    </row>
    <row r="23" customFormat="false" ht="15" hidden="false" customHeight="false" outlineLevel="0" collapsed="false">
      <c r="A23" s="23" t="s">
        <v>193</v>
      </c>
      <c r="B23" s="16" t="s">
        <v>194</v>
      </c>
    </row>
    <row r="24" customFormat="false" ht="15" hidden="false" customHeight="false" outlineLevel="0" collapsed="false">
      <c r="A24" s="23" t="s">
        <v>244</v>
      </c>
      <c r="B24" s="16" t="s">
        <v>245</v>
      </c>
    </row>
    <row r="25" customFormat="false" ht="15" hidden="false" customHeight="false" outlineLevel="0" collapsed="false">
      <c r="A25" s="23" t="s">
        <v>387</v>
      </c>
      <c r="B25" s="16" t="s">
        <v>388</v>
      </c>
    </row>
    <row r="26" customFormat="false" ht="15" hidden="false" customHeight="false" outlineLevel="0" collapsed="false">
      <c r="A26" s="23" t="s">
        <v>255</v>
      </c>
      <c r="B26" s="16" t="s">
        <v>256</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3" t="s">
        <v>389</v>
      </c>
    </row>
    <row r="2" customFormat="false" ht="15" hidden="false" customHeight="false" outlineLevel="0" collapsed="false">
      <c r="A2" s="16"/>
    </row>
    <row r="3" customFormat="false" ht="15" hidden="false" customHeight="false" outlineLevel="0" collapsed="false">
      <c r="A3" s="16" t="s">
        <v>390</v>
      </c>
    </row>
    <row r="4" customFormat="false" ht="15" hidden="false" customHeight="false" outlineLevel="0" collapsed="false">
      <c r="A4" s="16" t="s">
        <v>391</v>
      </c>
    </row>
    <row r="5" customFormat="false" ht="15" hidden="false" customHeight="false" outlineLevel="0" collapsed="false">
      <c r="A5" s="16" t="s">
        <v>392</v>
      </c>
    </row>
    <row r="6" customFormat="false" ht="15" hidden="false" customHeight="false" outlineLevel="0" collapsed="false">
      <c r="A6" s="16" t="s">
        <v>393</v>
      </c>
    </row>
    <row r="7" customFormat="false" ht="15" hidden="false" customHeight="false" outlineLevel="0" collapsed="false">
      <c r="A7" s="16"/>
    </row>
    <row r="8" customFormat="false" ht="15" hidden="false" customHeight="false" outlineLevel="0" collapsed="false">
      <c r="A8" s="16" t="s">
        <v>394</v>
      </c>
    </row>
    <row r="9" customFormat="false" ht="15" hidden="false" customHeight="false" outlineLevel="0" collapsed="false">
      <c r="A9" s="16" t="s">
        <v>395</v>
      </c>
    </row>
    <row r="10" customFormat="false" ht="15" hidden="false" customHeight="false" outlineLevel="0" collapsed="false">
      <c r="A10" s="16"/>
    </row>
    <row r="11" customFormat="false" ht="15" hidden="false" customHeight="false" outlineLevel="0" collapsed="false">
      <c r="A11" s="16" t="s">
        <v>396</v>
      </c>
    </row>
    <row r="12" customFormat="false" ht="15" hidden="false" customHeight="false" outlineLevel="0" collapsed="false">
      <c r="A12" s="16" t="s">
        <v>397</v>
      </c>
    </row>
    <row r="13" customFormat="false" ht="15" hidden="false" customHeight="false" outlineLevel="0" collapsed="false">
      <c r="A13" s="16" t="s">
        <v>398</v>
      </c>
    </row>
    <row r="14" customFormat="false" ht="15" hidden="false" customHeight="false" outlineLevel="0" collapsed="false">
      <c r="A14" s="16" t="s">
        <v>399</v>
      </c>
    </row>
    <row r="15" customFormat="false" ht="15" hidden="false" customHeight="false" outlineLevel="0" collapsed="false">
      <c r="A15" s="16" t="s">
        <v>400</v>
      </c>
    </row>
    <row r="16" customFormat="false" ht="15" hidden="false" customHeight="false" outlineLevel="0" collapsed="false">
      <c r="A16" s="16"/>
    </row>
    <row r="17" customFormat="false" ht="15" hidden="false" customHeight="false" outlineLevel="0" collapsed="false">
      <c r="A17" s="16" t="s">
        <v>401</v>
      </c>
    </row>
    <row r="18" customFormat="false" ht="15" hidden="false" customHeight="false" outlineLevel="0" collapsed="false">
      <c r="A18" s="16" t="s">
        <v>402</v>
      </c>
    </row>
    <row r="19" customFormat="false" ht="15" hidden="false" customHeight="false" outlineLevel="0" collapsed="false">
      <c r="A19" s="16" t="s">
        <v>403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2026-09-09T09:14:16Z</dcterms:created>
  <dc:creator>openpyxl</dc:creator>
  <dc:description/>
  <dc:language>en-US</dc:language>
  <cp:lastModifiedBy/>
  <dcterms:modified xsi:type="dcterms:W3CDTF">2026-09-09T09:14:16Z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