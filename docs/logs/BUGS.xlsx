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<sst xmlns="http://schemas.openxmlformats.org/spreadsheetml/2006/main" count="1004" uniqueCount="484">
  <si>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</si>
  <si>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</si>
  <si>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</si>
  <si>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</si>
  <si>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</si>
  <si>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</si>
  <si>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</si>
  <si>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</si>
  <si>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</si>
  <si>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</si>
  <si>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</si>
  <si>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</si>
  <si>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</si>
  <si>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</si>
  <si>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</si>
  <si>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</si>
  <si>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</si>
  <si>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</si>
  <si>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</si>
  <si>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</si>
  <si>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</si>
  <si>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</si>
  <si>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</si>
  <si>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</si>
  <si>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</si>
  <si>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</si>
  <si>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</si>
  <si>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</si>
  <si>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</si>
  <si>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</si>
  <si>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</si>
  <si>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</si>
  <si>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</si>
  <si>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</si>
  <si>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</si>
  <si>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</si>
  <si>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</si>
  <si>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</si>
  <si>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</si>
  <si>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</si>
  <si>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</si>
  <si>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</si>
  <si>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</si>
  <si>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</si>
  <si>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</si>
  <si>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</si>
  <si>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</si>
  <si>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</si>
  <si>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</si>
  <si>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</si>
  <si>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</si>
  <si>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</si>
  <si>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</si>
  <si>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</si>
  <si>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</si>
  <si>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</si>
  <si>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</si>
  <si>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</si>
  <si>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</si>
  <si>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</si>
  <si>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</si>
  <si>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</si>
  <si>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</si>
  <si>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</si>
  <si>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</si>
  <si>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</si>
  <si>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</si>
  <si>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</si>
  <si>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</si>
  <si>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</si>
  <si>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</si>
  <si>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</si>
  <si>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</si>
  <si>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</si>
  <si>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</si>
  <si>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</si>
  <si>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</si>
  <si>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</si>
  <si>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</si>
  <si>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</si>
  <si>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</si>
  <si>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</si>
  <si>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</si>
  <si>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</si>
  <si>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</si>
  <si>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</si>
  <si>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</si>
  <si>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</si>
  <si>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</si>
  <si>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</si>
  <si>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</si>
  <si>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</si>
  <si>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</si>
  <si>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</si>
  <si>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</si>
  <si>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</si>
  <si>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</si>
  <si>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</si>
  <si>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</si>
  <si>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</si>
  <si>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</si>
  <si>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</si>
  <si>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</si>
  <si>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</si>
  <si>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</si>
  <si>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</si>
  <si>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</si>
  <si>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</si>
  <si>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</si>
  <si>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</si>
  <si>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</si>
  <si>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</si>
  <si>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</si>
  <si>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</si>
  <si>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</si>
  <si>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</si>
  <si>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</si>
  <si>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</si>
  <si>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</si>
  <si>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</si>
  <si>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</si>
  <si>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</si>
  <si>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</si>
  <si>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</si>
  <si>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</si>
  <si>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</si>
  <si>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</si>
  <si>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</si>
  <si>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</si>
  <si>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</si>
  <si>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</si>
  <si>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</si>
  <si>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</si>
  <si>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</si>
  <si>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</si>
  <si>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</si>
  <si>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</si>
  <si>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</si>
  <si>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</si>
  <si>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</si>
  <si>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</si>
  <si>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</si>
  <si>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</si>
  <si>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</si>
  <si>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</si>
  <si>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</si>
  <si>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</si>
  <si>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</si>
  <si>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</si>
  <si>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</si>
  <si>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</si>
  <si>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</si>
  <si>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</si>
  <si>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</si>
  <si>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</si>
  <si>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</si>
  <si>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</si>
  <si>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</si>
  <si>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</si>
  <si>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</si>
  <si>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</si>
  <si>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</si>
  <si>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</si>
  <si>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</si>
  <si>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</si>
  <si>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</si>
  <si>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</si>
  <si>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</si>
  <si>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</si>
  <si>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</si>
  <si>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</si>
  <si>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</si>
  <si>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</si>
  <si>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</si>
  <si>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</si>
  <si>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</si>
  <si>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</si>
  <si>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</si>
  <si>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</si>
  <si>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BUG-20260909-011</t>
  </si>
  <si>
    <t xml:space="preserve">08:20:00</t>
  </si>
  <si>
    <t xml:space="preserve">pyproject declared requires-python &gt;=3.12 while the operator's actual environment is Python 3.10</t>
  </si>
  <si>
    <t xml:space="preserve">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</si>
  <si>
    <t xml:space="preserve">None yet. Would have been an ImportError at startup on the operator's machine -- loud, not silent.</t>
  </si>
  <si>
    <t xml:space="preserve">Retargeted to &gt;=3.10, reverted the 3.11-only constructs, and added noqa with a reason where StrEnum would otherwise be suggested.</t>
  </si>
  <si>
    <t xml:space="preserve">Nothing checked the declared Python floor against the environment the operator runs in. CI tests 3.12 only.</t>
  </si>
  <si>
    <t xml:space="preserve">pyproject.toml:L9</t>
  </si>
  <si>
    <t xml:space="preserve">https://github.com/spencerwon/navanax1/blob/feat/phase0-ingestion/pyproject.toml#L9</t>
  </si>
  <si>
    <t xml:space="preserve">tests/selftest.py::test_roundtrip_and_verbatim</t>
  </si>
  <si>
    <t xml:space="preserve">orchestrator, after `ruff --fix` rewrote timezone.utc to datetime.UTC and the target environment was checked</t>
  </si>
  <si>
    <t xml:space="preserve">2026-09-09T08:20:00-05:00</t>
  </si>
  <si>
    <t xml:space="preserve">2026-09-09T08:30:00-05:00</t>
  </si>
  <si>
    <t xml:space="preserve">BUG-20260909-012</t>
  </si>
  <si>
    <t xml:space="preserve">RTL</t>
  </si>
  <si>
    <t xml:space="preserve">Rate limiting</t>
  </si>
  <si>
    <t xml:space="preserve">One 429 permanently bricks the REST governor; server_reset_at is parsed and never read</t>
  </si>
  <si>
    <t xml:space="preserve">The recovery path requires the very resource the failure removes. server_reset_at is parsed at governor.py:150 and read nowhere.</t>
  </si>
  <si>
    <t xml:space="preserve">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</si>
  <si>
    <t xml:space="preserve">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</si>
  <si>
    <t xml:space="preserve">No test ever sent a 429 followed by a recovery attempt.</t>
  </si>
  <si>
    <t xml:space="preserve">src/navanax/governor.py:L166  ·  src/navanax/governor.py:L150</t>
  </si>
  <si>
    <t xml:space="preserve">https://github.com/spencerwon/navanax1/blob/feat/phase0-ingestion/src/navanax/governor.py#L166 https://github.com/spencerwon/navanax1/blob/feat/phase0-ingestion/src/navanax/governor.py#L150</t>
  </si>
  <si>
    <t xml:space="preserve">tests/selftest.py::test_governor_recovers_from_a_429</t>
  </si>
  <si>
    <t xml:space="preserve">validator agent (opus), first review; re-confirmed and escalated in the second</t>
  </si>
  <si>
    <t xml:space="preserve">2026-09-09T11:20:00-05:00</t>
  </si>
  <si>
    <t xml:space="preserve">BUG-20260909-013</t>
  </si>
  <si>
    <t xml:space="preserve">Every gap is recorded backfillable=True even for event classes REQ-D-09a says are permanently unrecoverable</t>
  </si>
  <si>
    <t xml:space="preserve">The classification exists as data and was never wired to the code that records gaps. No backfill queue exists yet at all.</t>
  </si>
  <si>
    <t xml:space="preserve">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</si>
  <si>
    <t xml:space="preserve">`_gap_classes()`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</si>
  <si>
    <t xml:space="preserve">Nothing asserts that a recorded gap's backfillable flag matches the event classes it actually spans.</t>
  </si>
  <si>
    <t xml:space="preserve">REQ-D-09a</t>
  </si>
  <si>
    <t xml:space="preserve">src/navanax/stream.py:L436</t>
  </si>
  <si>
    <t xml:space="preserve">https://github.com/spencerwon/navanax1/blob/feat/phase0-ingestion/src/navanax/stream.py#L436</t>
  </si>
  <si>
    <t xml:space="preserve">tests/selftest.py::test_gaps_are_labelled_by_what_can_actually_be_recovered</t>
  </si>
  <si>
    <t xml:space="preserve">validator agent (opus), first review; escalated in the second</t>
  </si>
  <si>
    <t xml:space="preserve">BUG-20260909-014</t>
  </si>
  <si>
    <t xml:space="preserve">BUG-003's 5x rate-limit error survived in three operator-facing artifacts</t>
  </si>
  <si>
    <t xml:space="preserve">The fix corrected the docs and the config and stopped at the boundary of what the developer reads.</t>
  </si>
  <si>
    <t xml:space="preserve">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</si>
  <si>
    <t xml:space="preserve">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</si>
  <si>
    <t xml:space="preserve">No check scanned operator-facing text for superseded numbers. There is one now.</t>
  </si>
  <si>
    <t xml:space="preserve">tools/preflight.py:L129  ·  README.md:L33  ·  setup.command:L48</t>
  </si>
  <si>
    <t xml:space="preserve">https://github.com/spencerwon/navanax1/blob/feat/phase0-ingestion/tools/preflight.py#L129 https://github.com/spencerwon/navanax1/blob/feat/phase0-ingestion/README.md#L33 https://github.com/spencerwon/navanax1/blob/feat/phase0-ingestion/setup.command#L48</t>
  </si>
  <si>
    <t xml:space="preserve">tests/selftest.py::test_no_superseded_rate_limit_in_operator_text</t>
  </si>
  <si>
    <t xml:space="preserve">validator agent (opus), first review</t>
  </si>
  <si>
    <t xml:space="preserve">2026-09-09T10:05:00-05:00</t>
  </si>
  <si>
    <t xml:space="preserve">BUG-20260909-015</t>
  </si>
  <si>
    <t xml:space="preserve">P2</t>
  </si>
  <si>
    <t xml:space="preserve">This phase</t>
  </si>
  <si>
    <t xml:space="preserve">config/base.yaml rest_budget was parsed by nothing; the governor hardcoded capacity</t>
  </si>
  <si>
    <t xml:space="preserve">REQ-N-09 says no threshold lives in code. It did.</t>
  </si>
  <si>
    <t xml:space="preserve">None directly. But a config block nothing reads looks like a knob and turns nothing -- an operator changing capacity would see no effect and no error.</t>
  </si>
  <si>
    <t xml:space="preserve">governor_from_config() reads rest_budget.capacity, per_seconds and the reserve floors, and raises on an unknown priority name rather than ignoring it -- a silently ignored config key is how a knob comes to turn nothing.</t>
  </si>
  <si>
    <t xml:space="preserve">No check asserted that every config key is read by something. reconciliation/analytical/display are still unread; they belong to subsystems that do not exist yet.</t>
  </si>
  <si>
    <t xml:space="preserve">REQ-N-09</t>
  </si>
  <si>
    <t xml:space="preserve">config/base.yaml:L22  ·  src/navanax/governor.py:L84</t>
  </si>
  <si>
    <t xml:space="preserve">https://github.com/spencerwon/navanax1/blob/feat/phase0-ingestion/config/base.yaml#L22 https://github.com/spencerwon/navanax1/blob/feat/phase0-ingestion/src/navanax/governor.py#L84</t>
  </si>
  <si>
    <t xml:space="preserve">tests/selftest.py::test_rest_budget_config_is_actually_read</t>
  </si>
  <si>
    <t xml:space="preserve">BUG-20260909-016</t>
  </si>
  <si>
    <t xml:space="preserve">P3</t>
  </si>
  <si>
    <t xml:space="preserve">Governor priority queue is dead code; ordering is emergent from reserve floors</t>
  </si>
  <si>
    <t xml:space="preserve">Dead code that implies capability.</t>
  </si>
  <si>
    <t xml:space="preserve">MAINTENANCE can beat an earlier INTERACTIVE request. _Waiter/_waiters/_seq are never appended to, so they read as an implemented feature that does not exist.</t>
  </si>
  <si>
    <t xml:space="preserve">`_Waiter`,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</si>
  <si>
    <t xml:space="preserve">No test asserts ordering between priorities under contention.</t>
  </si>
  <si>
    <t xml:space="preserve">src/navanax/governor.py:L175</t>
  </si>
  <si>
    <t xml:space="preserve">https://github.com/spencerwon/navanax1/blob/feat/phase0-ingestion/src/navanax/governor.py#L175</t>
  </si>
  <si>
    <t xml:space="preserve">tests/selftest.py::test_dead_priority_queue_is_gone</t>
  </si>
  <si>
    <t xml:space="preserve">BUG-20260909-017</t>
  </si>
  <si>
    <t xml:space="preserve">TMP</t>
  </si>
  <si>
    <t xml:space="preserve">Temporal / bitemporal</t>
  </si>
  <si>
    <t xml:space="preserve">An event with no parseable event_timestamp lands silently and drops out of manifest-driven range queries</t>
  </si>
  <si>
    <t xml:space="preserve">extract_event_timestamp returns None and the caller treats that as ordinary.</t>
  </si>
  <si>
    <t xml:space="preserve">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</si>
  <si>
    <t xml:space="preserve">`stats.missing_event_ts`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</si>
  <si>
    <t xml:space="preserve">No counter, no alert, no test for the missing-timestamp rate.</t>
  </si>
  <si>
    <t xml:space="preserve">REQ-D-07</t>
  </si>
  <si>
    <t xml:space="preserve">src/navanax/stream.py:L214  ·  src/navanax/landing.py:L174</t>
  </si>
  <si>
    <t xml:space="preserve">https://github.com/spencerwon/navanax1/blob/feat/phase0-ingestion/src/navanax/stream.py#L214 https://github.com/spencerwon/navanax1/blob/feat/phase0-ingestion/src/navanax/landing.py#L174</t>
  </si>
  <si>
    <t xml:space="preserve">tests/selftest.py::test_missing_event_timestamp_is_counted</t>
  </si>
  <si>
    <t xml:space="preserve">validator agent (opus), first review; manifestation changed by the V2 fix</t>
  </si>
  <si>
    <t xml:space="preserve">BUG-20260909-018</t>
  </si>
  <si>
    <t xml:space="preserve">INF</t>
  </si>
  <si>
    <t xml:space="preserve">Infrastructure</t>
  </si>
  <si>
    <t xml:space="preserve">A landing-zone write failure (disk full) is misrecorded as a stream gap and retried forever</t>
  </si>
  <si>
    <t xml:space="preserve">One handler for two unrelated failure domains: the remote connection and the local filesystem.</t>
  </si>
  <si>
    <t xml:space="preserve">run()'s except Exception catches anything, including an OSError from the writer, opens a gap blaming the stream, and reconnects. On a full disk this loops forever recording gaps it cannot write, and the gap register blames OpenSea for a local failure.</t>
  </si>
  <si>
    <t xml:space="preserve">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</si>
  <si>
    <t xml:space="preserve">No test injects a writer failure.</t>
  </si>
  <si>
    <t xml:space="preserve">src/navanax/stream.py:L519</t>
  </si>
  <si>
    <t xml:space="preserve">https://github.com/spencerwon/navanax1/blob/feat/phase0-ingestion/src/navanax/stream.py#L519</t>
  </si>
  <si>
    <t xml:space="preserve">tests/selftest.py::test_disk_failure_is_not_blamed_on_the_stream</t>
  </si>
  <si>
    <t xml:space="preserve">BUG-20260909-019</t>
  </si>
  <si>
    <t xml:space="preserve">08:35:00</t>
  </si>
  <si>
    <t xml:space="preserve">CI's pytest step collects zero tests and exits 5, so the pipeline cannot go green</t>
  </si>
  <si>
    <t xml:space="preserve">testpaths = ["tests"], and tests/ contains only selftest.py, which matches neither test_*.py nor *_test.py. pytest exits 5 on nothing collected.</t>
  </si>
  <si>
    <t xml:space="preserve">None to data. But the buglog --check gate the ledger leans on sits AFTER this step, so the gate that makes the bug log load-bearing never ran. A CI pipeline that cannot go green teaches everyone to ignore CI.</t>
  </si>
  <si>
    <t xml:space="preserve">CI tolerates exit code 5 explicitly, with a comment saying selftest.py is the real suite and pytest is scaffolding for later.</t>
  </si>
  <si>
    <t xml:space="preserve">The CI file was written but the full pipeline was never run end to end -- only the first step was.</t>
  </si>
  <si>
    <t xml:space="preserve">.github/workflows/ci.yml:L1</t>
  </si>
  <si>
    <t xml:space="preserve">https://github.com/spencerwon/navanax1/blob/feat/phase0-ingestion/.github/workflows/ci.yml#L1</t>
  </si>
  <si>
    <t xml:space="preserve">CI itself</t>
  </si>
  <si>
    <t xml:space="preserve">validator agent (opus), second review</t>
  </si>
  <si>
    <t xml:space="preserve">2026-09-09T08:35:00-05:00</t>
  </si>
  <si>
    <t xml:space="preserve">2026-09-09T08:40:00-05:00</t>
  </si>
  <si>
    <t xml:space="preserve">BUG-20260909-020</t>
  </si>
  <si>
    <t xml:space="preserve">08:05:00</t>
  </si>
  <si>
    <t xml:space="preserve">verify_manifest still could not detect a decoder returning a prefix of an intact file</t>
  </si>
  <si>
    <t xml:space="preserve">Both halves of the detector existed in the same file and nothing compared them.</t>
  </si>
  <si>
    <t xml:space="preserve">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</si>
  <si>
    <t xml:space="preserve">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</si>
  <si>
    <t xml:space="preserve">The audit checked the property that was easy to check, not the one that had already gone wrong once.</t>
  </si>
  <si>
    <t xml:space="preserve">src/navanax/landing.py:L608</t>
  </si>
  <si>
    <t xml:space="preserve">https://github.com/spencerwon/navanax1/blob/feat/phase0-ingestion/src/navanax/landing.py#L608</t>
  </si>
  <si>
    <t xml:space="preserve">tests/selftest.py::test_verify_detects_decoder_truncation</t>
  </si>
  <si>
    <t xml:space="preserve">2026-09-09T08:05:00-05:00</t>
  </si>
  <si>
    <t xml:space="preserve">2026-09-09T09:40:00-05:00</t>
  </si>
  <si>
    <t xml:space="preserve">BUG-20260909-021</t>
  </si>
  <si>
    <t xml:space="preserve">BUG-005's fix made control frames count as market events in the manifest</t>
  </si>
  <si>
    <t xml:space="preserve">Landing control frames was right; routing them through the same counter was not.</t>
  </si>
  <si>
    <t xml:space="preserve">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</si>
  <si>
    <t xml:space="preserve">FileRecord gained control_count; write() gained control=True; files_for_event_range excludes files with event_count == 0.</t>
  </si>
  <si>
    <t xml:space="preserve">No test asserted what a manifest says after a subscription failure -- only after a successful one.</t>
  </si>
  <si>
    <t xml:space="preserve">src/navanax/landing.py:L310  ·  src/navanax/stream.py:L416</t>
  </si>
  <si>
    <t xml:space="preserve">https://github.com/spencerwon/navanax1/blob/feat/phase0-ingestion/src/navanax/landing.py#L310 https://github.com/spencerwon/navanax1/blob/feat/phase0-ingestion/src/navanax/stream.py#L416</t>
  </si>
  <si>
    <t xml:space="preserve">tests/selftest.py::test_control_frames_do_not_inflate_event_count</t>
  </si>
  <si>
    <t xml:space="preserve">BUG-20260909-022</t>
  </si>
  <si>
    <t xml:space="preserve">Manifest read-modify-write had no cross-process lock; concurrent writers silently lost gap records</t>
  </si>
  <si>
    <t xml:space="preserve">An in-process lock guarding an inter-process critical section.</t>
  </si>
  <si>
    <t xml:space="preserve">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</si>
  <si>
    <t xml:space="preserve">fcntl.flock on _manifest/.manifest.lock around every read-modify-write, plus a single-instance guard in cli.py that refuses a second ingest against the same landing zone. Tech-lead re-measured with four real PROCESSES (the shipped test uses threads): 600 written, 600 held, 0 lost.</t>
  </si>
  <si>
    <t xml:space="preserve">No test ran two writers against one root at all.</t>
  </si>
  <si>
    <t xml:space="preserve">src/navanax/landing.py:L116  ·  src/navanax/cli.py:L51</t>
  </si>
  <si>
    <t xml:space="preserve">https://github.com/spencerwon/navanax1/blob/feat/phase0-ingestion/src/navanax/landing.py#L116 https://github.com/spencerwon/navanax1/blob/feat/phase0-ingestion/src/navanax/cli.py#L51</t>
  </si>
  <si>
    <t xml:space="preserve">tests/selftest.py::test_concurrent_manifest_writes_lose_nothing</t>
  </si>
  <si>
    <t xml:space="preserve">validator agent (opus), second review; cross-process claim independently re-measured by tech-lead</t>
  </si>
  <si>
    <t xml:space="preserve">BUG-20260909-023</t>
  </si>
  <si>
    <t xml:space="preserve">09:50:00</t>
  </si>
  <si>
    <t xml:space="preserve">A live gap was filed under one day and never recorded when it ended; only the restart path was fixed</t>
  </si>
  <si>
    <t xml:space="preserve">The fix's own regression test called record_gap with BOTH endpoints known, which production never does. It proved the helper, not the path. That is the tech-lead charter's blocking criterion "a test whose assertion would pass against a broken implementation", applied to the author.</t>
  </si>
  <si>
    <t xml:space="preserve">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</si>
  <si>
    <t xml:space="preserve">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</si>
  <si>
    <t xml:space="preserve">The test exercised a pure helper. Nothing drove _open_gap and _close_gap, which are the only ways a gap is created in production.</t>
  </si>
  <si>
    <t xml:space="preserve">src/navanax/stream.py:L486  ·  src/navanax/landing.py:L447</t>
  </si>
  <si>
    <t xml:space="preserve">https://github.com/spencerwon/navanax1/blob/feat/phase0-ingestion/src/navanax/stream.py#L486 https://github.com/spencerwon/navanax1/blob/feat/phase0-ingestion/src/navanax/landing.py#L447</t>
  </si>
  <si>
    <t xml:space="preserve">tests/selftest.py::test_gap_spans_every_day_through_the_consumer_path</t>
  </si>
  <si>
    <t xml:space="preserve">tech-lead agent (opus), gate review -- caught what the validator and the author both missed</t>
  </si>
  <si>
    <t xml:space="preserve">tech-lead</t>
  </si>
  <si>
    <t xml:space="preserve">2026-09-09T09:50:00-05:00</t>
  </si>
  <si>
    <t xml:space="preserve">2026-09-09T10:10:00-05:00</t>
  </si>
  <si>
    <t xml:space="preserve">BUG-20260909-024</t>
  </si>
  <si>
    <t xml:space="preserve">A chance frame-magic inside compressed data could silently truncate a file if the zstd binding returned partial data</t>
  </si>
  <si>
    <t xml:space="preserve">A correctness property left resting on undocumented third-party behaviour -- the same class as BUG-010, one layer down.</t>
  </si>
  <si>
    <t xml:space="preserve">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</si>
  <si>
    <t xml:space="preserve">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</si>
  <si>
    <t xml:space="preserve">zstandard cannot be installed in the sandbox this is written in, so the production codec has no local coverage by construction. The startup gate exists because the test suite structurally cannot run there.</t>
  </si>
  <si>
    <t xml:space="preserve">src/navanax/codec.py:L171  ·  src/navanax/codec.py:L366</t>
  </si>
  <si>
    <t xml:space="preserve">https://github.com/spencerwon/navanax1/blob/feat/phase0-ingestion/src/navanax/codec.py#L171 https://github.com/spencerwon/navanax1/blob/feat/phase0-ingestion/src/navanax/codec.py#L366</t>
  </si>
  <si>
    <t xml:space="preserve">BUG-20260909-025</t>
  </si>
  <si>
    <t xml:space="preserve">Join rejections re-opened a gap on every reconnect; measured 4,000 open gaps and 89.6s of fsync inside the event loop</t>
  </si>
  <si>
    <t xml:space="preserve">A per-event action attached to a per-connection event.</t>
  </si>
  <si>
    <t xml:space="preserve">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</si>
  <si>
    <t xml:space="preserve">One open gap per topic, retracted the moment that topic joins successfully -- in the manifest as well as the register, since asserting a hole that does not exist is its own kind of wrong.</t>
  </si>
  <si>
    <t xml:space="preserve">No test reconnected more than once.</t>
  </si>
  <si>
    <t xml:space="preserve">src/navanax/stream.py:L291</t>
  </si>
  <si>
    <t xml:space="preserve">https://github.com/spencerwon/navanax1/blob/feat/phase0-ingestion/src/navanax/stream.py#L291</t>
  </si>
  <si>
    <t xml:space="preserve">tests/selftest.py::test_rejection_gap_is_not_reopened_every_reconnect</t>
  </si>
  <si>
    <t xml:space="preserve">BUG-20260909-026</t>
  </si>
  <si>
    <t xml:space="preserve">stats.heartbeats was always 0 in production; the test fixture asserted the frame we SEND, not the one the server sends</t>
  </si>
  <si>
    <t xml:space="preserve">The fixture was written from the sending side of the protocol.</t>
  </si>
  <si>
    <t xml:space="preserve">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</si>
  <si>
    <t xml:space="preserve">phx_reply on topic phoenix is counted as a heartbeat; the fixture now uses the frame the server actually sends, and the frame we send is still tolerated.</t>
  </si>
  <si>
    <t xml:space="preserve">No real captured frame was ever used in a test. tools/sample_frames.jsonl exists for this and is not yet wired in.</t>
  </si>
  <si>
    <t xml:space="preserve">src/navanax/stream.py:L232</t>
  </si>
  <si>
    <t xml:space="preserve">https://github.com/spencerwon/navanax1/blob/feat/phase0-ingestion/src/navanax/stream.py#L232</t>
  </si>
  <si>
    <t xml:space="preserve">tests/selftest.py::test_stream_parsing</t>
  </si>
  <si>
    <t xml:space="preserve">BUG-20260909-027</t>
  </si>
  <si>
    <t xml:space="preserve">Ingest refused to start on any filesystem without flock, reporting a second instance that did not exist</t>
  </si>
  <si>
    <t xml:space="preserve">One handler for two unrelated errnos: contention and unsupported.</t>
  </si>
  <si>
    <t xml:space="preserve">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</si>
  <si>
    <t xml:space="preserve">EWOULDBLOCK/EAGAIN refuse; EOPNOTSUPP/ENOLCK/EINVAL/ENOSYS proceed with a loud, accurate warning that names the real risk.</t>
  </si>
  <si>
    <t xml:space="preserve">The guard was tested only on the filesystem it was written on.</t>
  </si>
  <si>
    <t xml:space="preserve">src/navanax/cli.py:L64</t>
  </si>
  <si>
    <t xml:space="preserve">https://github.com/spencerwon/navanax1/blob/feat/phase0-ingestion/src/navanax/cli.py#L64</t>
  </si>
  <si>
    <t xml:space="preserve">tests/selftest.py::test_single_instance_degrades_on_unsupported_filesystem</t>
  </si>
  <si>
    <t xml:space="preserve">tech-lead agent (opus), gate review</t>
  </si>
  <si>
    <t xml:space="preserve">BUG-20260909-028</t>
  </si>
  <si>
    <t xml:space="preserve">10:30:00</t>
  </si>
  <si>
    <t xml:space="preserve">The falsified 600/hr figure survived, unqualified, in five agent charters -- and BUG-014's own test could not see them</t>
  </si>
  <si>
    <t xml:space="preserve">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</si>
  <si>
    <t xml:space="preserve">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</si>
  <si>
    <t xml:space="preserve">All five charters corrected to 120 with provenance and the cache-HIT caveat. The scan is now repo-wide -- every tracked text file, the way tools/buglog.py already scans for bug ids -- excluding only the bug log itself, whose job is to record the wrong number.</t>
  </si>
  <si>
    <t xml:space="preserve">A check with a hardcoded scope, described in the ledger as having universal scope. The description is the part that did the damage: it converted an unexamined gap into a settled question.</t>
  </si>
  <si>
    <t xml:space="preserve">tester</t>
  </si>
  <si>
    <t xml:space="preserve">.claude/agents/data-engineer.md:L18  ·  .claude/agents/research.md:L18  ·  .claude/agents/orchestrator.md:L47  ·  .claude/agents/build-reporter.md:L31  ·  .claude/agents/docs-explainer.md:L23</t>
  </si>
  <si>
    <t xml:space="preserve">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</si>
  <si>
    <t xml:space="preserve">qa-auditor agent (sonnet), first run -- reconciling session claims against the repo</t>
  </si>
  <si>
    <t xml:space="preserve">qa-auditor</t>
  </si>
  <si>
    <t xml:space="preserve">2026-09-09T10:30:00-05:00</t>
  </si>
  <si>
    <t xml:space="preserve">2026-09-09T10:45:00-05:00</t>
  </si>
  <si>
    <t xml:space="preserve">BUG-20260909-029</t>
  </si>
  <si>
    <t xml:space="preserve">11:40:00</t>
  </si>
  <si>
    <t xml:space="preserve">config/base.yaml said the governor reads x-ratelimit-limit and adapts; nothing read it</t>
  </si>
  <si>
    <t xml:space="preserve">The config comment was written from the design, not from the code.</t>
  </si>
  <si>
    <t xml:space="preserve">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</si>
  <si>
    <t xml:space="preserve">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</si>
  <si>
    <t xml:space="preserve">No test asserted that any header changed capacity. The qa-auditor's numbers check compares values, not claimed mechanisms.</t>
  </si>
  <si>
    <t xml:space="preserve">config/base.yaml:L22  ·  src/navanax/governor.py:L169</t>
  </si>
  <si>
    <t xml:space="preserve">https://github.com/spencerwon/navanax1/blob/tester/config/base.yaml#L22 https://github.com/spencerwon/navanax1/blob/tester/src/navanax/governor.py#L169</t>
  </si>
  <si>
    <t xml:space="preserve">tests/selftest.py::test_governor_adapts_capacity_from_server</t>
  </si>
  <si>
    <t xml:space="preserve">tech-lead agent (opus), third gate review</t>
  </si>
  <si>
    <t xml:space="preserve">2026-09-09T11:40:00-05:00</t>
  </si>
  <si>
    <t xml:space="preserve">2026-09-09T12:00:00-05:00</t>
  </si>
  <si>
    <t xml:space="preserve">BUG-20260909-030</t>
  </si>
  <si>
    <t xml:space="preserve">BUG-012's fix discarded a truthful "remaining 0" reported on a successful response</t>
  </si>
  <si>
    <t xml:space="preserve">One field carried two meanings -- a ceiling WE imposed after a 429, and one the SERVER reported -- and the fix lifted both. The first attempt at fixing this made the block expiry do the same thing, which the pre-existing test caught.</t>
  </si>
  <si>
    <t xml:space="preserve">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</si>
  <si>
    <t xml:space="preserve">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</si>
  <si>
    <t xml:space="preserve">BUG-012's test asserted recovery and never asserted that the server's own 'no' was still honoured.</t>
  </si>
  <si>
    <t xml:space="preserve">src/navanax/governor.py:L217  ·  src/navanax/governor.py:L360</t>
  </si>
  <si>
    <t xml:space="preserve">https://github.com/spencerwon/navanax1/blob/tester/src/navanax/governor.py#L217 https://github.com/spencerwon/navanax1/blob/tester/src/navanax/governor.py#L360</t>
  </si>
  <si>
    <t xml:space="preserve">tests/selftest.py::test_truthful_zero_remaining_is_not_discarded</t>
  </si>
  <si>
    <t xml:space="preserve">tech-lead agent (opus), third gate review; the pre-existing 'server header caps local optimism' assertion caught the first attempt at the fix</t>
  </si>
  <si>
    <t xml:space="preserve">BUG-20260909-031</t>
  </si>
  <si>
    <t xml:space="preserve">BUG-013 redefined backfillable and made the backfill worklist permanently empty</t>
  </si>
  <si>
    <t xml:space="preserve">A field's meaning changed and one of its readers was not revisited.</t>
  </si>
  <si>
    <t xml:space="preserve">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</si>
  <si>
    <t xml:space="preserve">The gap register now carries backfillable_classes and irrecoverable_classes (with an in-place migration for existing stores). unbackfilled_gaps() returns closed, un-backfilled gaps with at least one recoverable class -- the question a backfiller actually asks.</t>
  </si>
  <si>
    <t xml:space="preserve">No test asserted what `navanax status` shows after a real reconnect gap.</t>
  </si>
  <si>
    <t xml:space="preserve">src/navanax/opstore.py:L208  ·  src/navanax/cli.py:L194</t>
  </si>
  <si>
    <t xml:space="preserve">https://github.com/spencerwon/navanax1/blob/tester/src/navanax/opstore.py#L208 https://github.com/spencerwon/navanax1/blob/tester/src/navanax/cli.py#L194</t>
  </si>
  <si>
    <t xml:space="preserve">tests/selftest.py::test_backfill_worklist_is_not_vacuous</t>
  </si>
  <si>
    <t xml:space="preserve">BUG-20260909-032</t>
  </si>
  <si>
    <t xml:space="preserve">12:10:00</t>
  </si>
  <si>
    <t xml:space="preserve">First real-zstandard CI run turned the codec gate red -- the gate's "last frame" heuristic assumed gzip's writer behaviour, and the frame walk still guessed boundaries by magic scanning</t>
  </si>
  <si>
    <t xml:space="preserve">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</si>
  <si>
    <t xml:space="preserve">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</si>
  <si>
    <t xml:space="preserve">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</si>
  <si>
    <t xml:space="preserve">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</si>
  <si>
    <t xml:space="preserve">src/navanax/codec.py:L150  ·  src/navanax/codec.py:L168  ·  src/navanax/codec.py:L300</t>
  </si>
  <si>
    <t xml:space="preserve">https://github.com/spencerwon/navanax1/blob/tester/src/navanax/codec.py#L150 https://github.com/spencerwon/navanax1/blob/tester/src/navanax/codec.py#L168 https://github.com/spencerwon/navanax1/blob/tester/src/navanax/codec.py#L300</t>
  </si>
  <si>
    <t xml:space="preserve">tests/selftest.py::test_startup_gate_refuses_a_lying_codec</t>
  </si>
  <si>
    <t xml:space="preserve">GitHub Actions CI on the tester branch -- the first time the production codec was ever executed by anything</t>
  </si>
  <si>
    <t xml:space="preserve">2026-09-09T12:10:00-05:00</t>
  </si>
  <si>
    <t xml:space="preserve">2026-09-09T12:40:00-05:00</t>
  </si>
  <si>
    <t xml:space="preserve">#2</t>
  </si>
  <si>
    <t xml:space="preserve">BUG-20260909-033</t>
  </si>
  <si>
    <t xml:space="preserve">13:05:00</t>
  </si>
  <si>
    <t xml:space="preserve">SEC</t>
  </si>
  <si>
    <t xml:space="preserve">Security</t>
  </si>
  <si>
    <t xml:space="preserve">The REQ-N-11 credential gate fired on a 14-character test placeholder the first time it ever ran</t>
  </si>
  <si>
    <t xml:space="preserve">A one-line grep matching NAME=&lt;any alphanumeric&gt;. It could not distinguish a placeholder from a key because it never asked what a key looks like. Written in the same sitting as the rest of ci.yml and, like the pytest step (BUG-019), never run end to end until CI could reach it.</t>
  </si>
  <si>
    <t xml:space="preserve">None. But the failure mode is the dangerous kind for a security gate: a check that cries wolf on `OPENSEA_API_KEY=fake_key_value` teaches everyone to click past it, and the day it fires on a real 32-character key nobody looks. A gate with no precision has no authority.</t>
  </si>
  <si>
    <t xml:space="preserve">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</si>
  <si>
    <t xml:space="preserve">A CI step that had never executed. Same shape as BUG-019: the pipeline was written, not run.</t>
  </si>
  <si>
    <t xml:space="preserve">REQ-N-11</t>
  </si>
  <si>
    <t xml:space="preserve">.github/workflows/ci.yml:L61  ·  tools/secrets_check.py:L1</t>
  </si>
  <si>
    <t xml:space="preserve">https://github.com/spencerwon/navanax1/blob/tester/.github/workflows/ci.yml#L61 https://github.com/spencerwon/navanax1/blob/tester/tools/secrets_check.py#L1</t>
  </si>
  <si>
    <t xml:space="preserve">tests/selftest.py::test_secrets_gate_knows_what_a_key_looks_like</t>
  </si>
  <si>
    <t xml:space="preserve">GitHub Actions CI on PR #2 -- the step had never executed before; every earlier run died upstream of it</t>
  </si>
  <si>
    <t xml:space="preserve">2026-09-09T13:05:00-05:00</t>
  </si>
  <si>
    <t xml:space="preserve">2026-09-09T13:30:00-05:00</t>
  </si>
  <si>
    <t xml:space="preserve">BUG-20260909-034</t>
  </si>
  <si>
    <t xml:space="preserve">CI actions target Node 20, which GitHub removes from runners on 2026-09-23 -- two weeks out</t>
  </si>
  <si>
    <t xml:space="preserve">Pinned to the major versions that were current when the workflow was written; the runtime they depend on has a published end date.</t>
  </si>
  <si>
    <t xml:space="preserve">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</si>
  <si>
    <t xml:space="preserve">actions/checkout@v5 and actions/setup-python@v6, both Node 24. Dated in the workflow comment so the next person knows why.</t>
  </si>
  <si>
    <t xml:space="preserve">Nothing in the project tracks external end-of-life dates. The research agent's charter covers the OpenSea API contract; it should cover the CI runtime too.</t>
  </si>
  <si>
    <t xml:space="preserve">.github/workflows/ci.yml:L12</t>
  </si>
  <si>
    <t xml:space="preserve">https://github.com/spencerwon/navanax1/blob/tester/.github/workflows/ci.yml#L12</t>
  </si>
  <si>
    <t xml:space="preserve">CI itself -- the deprecation annotation disappears</t>
  </si>
  <si>
    <t xml:space="preserve">GitHub Actions deprecation warning on PR #2, and GitHub's Actions runners notice (Node20 removal date updated 2026-08-25 to 2026-09-23)</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</si>
  <si>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</si>
  <si>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</si>
  <si>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</si>
  <si>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</si>
  <si>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</si>
  <si>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</si>
  <si>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</si>
  <si>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</si>
  <si>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</si>
  <si>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</si>
  <si>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</si>
  <si>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Error class</t>
  </si>
  <si>
    <t xml:space="preserve">NRM</t>
  </si>
  <si>
    <t xml:space="preserve">Normalisation</t>
  </si>
  <si>
    <t xml:space="preserve">STA</t>
  </si>
  <si>
    <t xml:space="preserve">Statistics</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</si>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</sst>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35" headerRowCount="1" totalsRowCount="0" totalsRowShown="0">
  <autoFilter ref="A1:AA35"/>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hyperlink" Target="https://github.com/spencerwon/navanax1/blob/feat/phase0-ingestion/pyproject.toml" TargetMode="External"/><Relationship Id="rId22" Type="http://schemas.openxmlformats.org/officeDocument/2006/relationships/hyperlink" Target="https://github.com/spencerwon/navanax1/pull/1" TargetMode="External"/><Relationship Id="rId23" Type="http://schemas.openxmlformats.org/officeDocument/2006/relationships/hyperlink" Target="https://github.com/spencerwon/navanax1/blob/feat/phase0-ingestion/src/navanax/governor.py" TargetMode="External"/><Relationship Id="rId24" Type="http://schemas.openxmlformats.org/officeDocument/2006/relationships/hyperlink" Target="https://github.com/spencerwon/navanax1/pull/1" TargetMode="External"/><Relationship Id="rId25" Type="http://schemas.openxmlformats.org/officeDocument/2006/relationships/hyperlink" Target="https://github.com/spencerwon/navanax1/blob/feat/phase0-ingestion/src/navanax/stream.py" TargetMode="External"/><Relationship Id="rId26" Type="http://schemas.openxmlformats.org/officeDocument/2006/relationships/hyperlink" Target="https://github.com/spencerwon/navanax1/pull/1" TargetMode="External"/><Relationship Id="rId27" Type="http://schemas.openxmlformats.org/officeDocument/2006/relationships/hyperlink" Target="https://github.com/spencerwon/navanax1/blob/feat/phase0-ingestion/tools/preflight.py" TargetMode="External"/><Relationship Id="rId28" Type="http://schemas.openxmlformats.org/officeDocument/2006/relationships/hyperlink" Target="https://github.com/spencerwon/navanax1/pull/1" TargetMode="External"/><Relationship Id="rId29" Type="http://schemas.openxmlformats.org/officeDocument/2006/relationships/hyperlink" Target="https://github.com/spencerwon/navanax1/blob/feat/phase0-ingestion/config/base.yaml" TargetMode="External"/><Relationship Id="rId30" Type="http://schemas.openxmlformats.org/officeDocument/2006/relationships/hyperlink" Target="https://github.com/spencerwon/navanax1/pull/1" TargetMode="External"/><Relationship Id="rId31" Type="http://schemas.openxmlformats.org/officeDocument/2006/relationships/hyperlink" Target="https://github.com/spencerwon/navanax1/blob/feat/phase0-ingestion/src/navanax/governor.py" TargetMode="External"/><Relationship Id="rId32" Type="http://schemas.openxmlformats.org/officeDocument/2006/relationships/hyperlink" Target="https://github.com/spencerwon/navanax1/pull/1" TargetMode="External"/><Relationship Id="rId33" Type="http://schemas.openxmlformats.org/officeDocument/2006/relationships/hyperlink" Target="https://github.com/spencerwon/navanax1/blob/feat/phase0-ingestion/src/navanax/stream.py" TargetMode="External"/><Relationship Id="rId34" Type="http://schemas.openxmlformats.org/officeDocument/2006/relationships/hyperlink" Target="https://github.com/spencerwon/navanax1/pull/1" TargetMode="External"/><Relationship Id="rId35" Type="http://schemas.openxmlformats.org/officeDocument/2006/relationships/hyperlink" Target="https://github.com/spencerwon/navanax1/blob/feat/phase0-ingestion/src/navanax/stream.py" TargetMode="External"/><Relationship Id="rId36" Type="http://schemas.openxmlformats.org/officeDocument/2006/relationships/hyperlink" Target="https://github.com/spencerwon/navanax1/pull/1" TargetMode="External"/><Relationship Id="rId37" Type="http://schemas.openxmlformats.org/officeDocument/2006/relationships/hyperlink" Target="https://github.com/spencerwon/navanax1/blob/feat/phase0-ingestion/.github/workflows/ci.yml" TargetMode="External"/><Relationship Id="rId38" Type="http://schemas.openxmlformats.org/officeDocument/2006/relationships/hyperlink" Target="https://github.com/spencerwon/navanax1/pull/1" TargetMode="External"/><Relationship Id="rId39" Type="http://schemas.openxmlformats.org/officeDocument/2006/relationships/hyperlink" Target="https://github.com/spencerwon/navanax1/blob/feat/phase0-ingestion/src/navanax/landing.py" TargetMode="External"/><Relationship Id="rId40" Type="http://schemas.openxmlformats.org/officeDocument/2006/relationships/hyperlink" Target="https://github.com/spencerwon/navanax1/pull/1" TargetMode="External"/><Relationship Id="rId41" Type="http://schemas.openxmlformats.org/officeDocument/2006/relationships/hyperlink" Target="https://github.com/spencerwon/navanax1/blob/feat/phase0-ingestion/src/navanax/landing.py" TargetMode="External"/><Relationship Id="rId42" Type="http://schemas.openxmlformats.org/officeDocument/2006/relationships/hyperlink" Target="https://github.com/spencerwon/navanax1/pull/1" TargetMode="External"/><Relationship Id="rId43" Type="http://schemas.openxmlformats.org/officeDocument/2006/relationships/hyperlink" Target="https://github.com/spencerwon/navanax1/blob/feat/phase0-ingestion/src/navanax/landing.py" TargetMode="External"/><Relationship Id="rId44" Type="http://schemas.openxmlformats.org/officeDocument/2006/relationships/hyperlink" Target="https://github.com/spencerwon/navanax1/pull/1" TargetMode="External"/><Relationship Id="rId45" Type="http://schemas.openxmlformats.org/officeDocument/2006/relationships/hyperlink" Target="https://github.com/spencerwon/navanax1/blob/feat/phase0-ingestion/src/navanax/stream.py" TargetMode="External"/><Relationship Id="rId46" Type="http://schemas.openxmlformats.org/officeDocument/2006/relationships/hyperlink" Target="https://github.com/spencerwon/navanax1/pull/1" TargetMode="External"/><Relationship Id="rId47" Type="http://schemas.openxmlformats.org/officeDocument/2006/relationships/hyperlink" Target="https://github.com/spencerwon/navanax1/blob/feat/phase0-ingestion/src/navanax/codec.py" TargetMode="External"/><Relationship Id="rId48" Type="http://schemas.openxmlformats.org/officeDocument/2006/relationships/hyperlink" Target="https://github.com/spencerwon/navanax1/pull/1" TargetMode="External"/><Relationship Id="rId49" Type="http://schemas.openxmlformats.org/officeDocument/2006/relationships/hyperlink" Target="https://github.com/spencerwon/navanax1/blob/feat/phase0-ingestion/src/navanax/stream.py" TargetMode="External"/><Relationship Id="rId50" Type="http://schemas.openxmlformats.org/officeDocument/2006/relationships/hyperlink" Target="https://github.com/spencerwon/navanax1/pull/1" TargetMode="External"/><Relationship Id="rId51" Type="http://schemas.openxmlformats.org/officeDocument/2006/relationships/hyperlink" Target="https://github.com/spencerwon/navanax1/blob/feat/phase0-ingestion/src/navanax/stream.py" TargetMode="External"/><Relationship Id="rId52" Type="http://schemas.openxmlformats.org/officeDocument/2006/relationships/hyperlink" Target="https://github.com/spencerwon/navanax1/pull/1" TargetMode="External"/><Relationship Id="rId53" Type="http://schemas.openxmlformats.org/officeDocument/2006/relationships/hyperlink" Target="https://github.com/spencerwon/navanax1/blob/feat/phase0-ingestion/src/navanax/cli.py" TargetMode="External"/><Relationship Id="rId54" Type="http://schemas.openxmlformats.org/officeDocument/2006/relationships/hyperlink" Target="https://github.com/spencerwon/navanax1/pull/1" TargetMode="External"/><Relationship Id="rId55" Type="http://schemas.openxmlformats.org/officeDocument/2006/relationships/hyperlink" Target="https://github.com/spencerwon/navanax1/blob/tester/.claude/agents/data-engineer.md" TargetMode="External"/><Relationship Id="rId56" Type="http://schemas.openxmlformats.org/officeDocument/2006/relationships/hyperlink" Target="https://github.com/spencerwon/navanax1/pull/1" TargetMode="External"/><Relationship Id="rId57" Type="http://schemas.openxmlformats.org/officeDocument/2006/relationships/hyperlink" Target="https://github.com/spencerwon/navanax1/blob/tester/config/base.yaml" TargetMode="External"/><Relationship Id="rId58" Type="http://schemas.openxmlformats.org/officeDocument/2006/relationships/hyperlink" Target="https://github.com/spencerwon/navanax1/pull/1" TargetMode="External"/><Relationship Id="rId59" Type="http://schemas.openxmlformats.org/officeDocument/2006/relationships/hyperlink" Target="https://github.com/spencerwon/navanax1/blob/tester/src/navanax/governor.py" TargetMode="External"/><Relationship Id="rId60" Type="http://schemas.openxmlformats.org/officeDocument/2006/relationships/hyperlink" Target="https://github.com/spencerwon/navanax1/pull/1" TargetMode="External"/><Relationship Id="rId61" Type="http://schemas.openxmlformats.org/officeDocument/2006/relationships/hyperlink" Target="https://github.com/spencerwon/navanax1/blob/tester/src/navanax/opstore.py" TargetMode="External"/><Relationship Id="rId62" Type="http://schemas.openxmlformats.org/officeDocument/2006/relationships/hyperlink" Target="https://github.com/spencerwon/navanax1/pull/1" TargetMode="External"/><Relationship Id="rId63" Type="http://schemas.openxmlformats.org/officeDocument/2006/relationships/hyperlink" Target="https://github.com/spencerwon/navanax1/blob/tester/src/navanax/codec.py" TargetMode="External"/><Relationship Id="rId64" Type="http://schemas.openxmlformats.org/officeDocument/2006/relationships/hyperlink" Target="https://github.com/spencerwon/navanax1/pull/2" TargetMode="External"/><Relationship Id="rId65" Type="http://schemas.openxmlformats.org/officeDocument/2006/relationships/hyperlink" Target="https://github.com/spencerwon/navanax1/blob/tester/.github/workflows/ci.yml" TargetMode="External"/><Relationship Id="rId66" Type="http://schemas.openxmlformats.org/officeDocument/2006/relationships/hyperlink" Target="https://github.com/spencerwon/navanax1/pull/2" TargetMode="External"/><Relationship Id="rId67" Type="http://schemas.openxmlformats.org/officeDocument/2006/relationships/hyperlink" Target="https://github.com/spencerwon/navanax1/blob/tester/.github/workflows/ci.yml" TargetMode="External"/><Relationship Id="rId68" Type="http://schemas.openxmlformats.org/officeDocument/2006/relationships/hyperlink" Target="https://github.com/spencerwon/navanax1/pull/2" TargetMode="External"/><Relationship Id="rId69"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row r="12" customFormat="false" ht="120" hidden="false" customHeight="true" outlineLevel="0" collapsed="false">
      <c r="A12" s="2" t="s">
        <v>179</v>
      </c>
      <c r="B12" s="3" t="s">
        <v>28</v>
      </c>
      <c r="C12" s="3" t="s">
        <v>180</v>
      </c>
      <c r="D12" s="8" t="s">
        <v>56</v>
      </c>
      <c r="E12" s="3" t="s">
        <v>57</v>
      </c>
      <c r="F12" s="3" t="s">
        <v>58</v>
      </c>
      <c r="G12" s="3" t="s">
        <v>94</v>
      </c>
      <c r="H12" s="3" t="s">
        <v>95</v>
      </c>
      <c r="I12" s="3" t="s">
        <v>35</v>
      </c>
      <c r="J12" s="3" t="s">
        <v>36</v>
      </c>
      <c r="K12" s="5" t="s">
        <v>37</v>
      </c>
      <c r="L12" s="3" t="s">
        <v>181</v>
      </c>
      <c r="M12" s="3" t="s">
        <v>182</v>
      </c>
      <c r="N12" s="3" t="s">
        <v>183</v>
      </c>
      <c r="O12" s="3" t="s">
        <v>184</v>
      </c>
      <c r="P12" s="3" t="s">
        <v>185</v>
      </c>
      <c r="Q12" s="6" t="s">
        <v>101</v>
      </c>
      <c r="R12" s="3" t="s">
        <v>44</v>
      </c>
      <c r="S12" s="6" t="s">
        <v>186</v>
      </c>
      <c r="T12" s="7" t="s">
        <v>187</v>
      </c>
      <c r="U12" s="6" t="s">
        <v>188</v>
      </c>
      <c r="V12" s="3" t="s">
        <v>189</v>
      </c>
      <c r="W12" s="3" t="s">
        <v>106</v>
      </c>
      <c r="X12" s="3" t="s">
        <v>86</v>
      </c>
      <c r="Y12" s="3" t="s">
        <v>190</v>
      </c>
      <c r="Z12" s="3" t="s">
        <v>191</v>
      </c>
      <c r="AA12" s="7" t="s">
        <v>53</v>
      </c>
    </row>
    <row r="13" customFormat="false" ht="120" hidden="false" customHeight="true" outlineLevel="0" collapsed="false">
      <c r="A13" s="2" t="s">
        <v>192</v>
      </c>
      <c r="B13" s="3" t="s">
        <v>28</v>
      </c>
      <c r="C13" s="3" t="s">
        <v>111</v>
      </c>
      <c r="D13" s="4" t="s">
        <v>30</v>
      </c>
      <c r="E13" s="3" t="s">
        <v>31</v>
      </c>
      <c r="F13" s="3" t="s">
        <v>32</v>
      </c>
      <c r="G13" s="3" t="s">
        <v>94</v>
      </c>
      <c r="H13" s="3" t="s">
        <v>95</v>
      </c>
      <c r="I13" s="3" t="s">
        <v>193</v>
      </c>
      <c r="J13" s="3" t="s">
        <v>194</v>
      </c>
      <c r="K13" s="5" t="s">
        <v>37</v>
      </c>
      <c r="L13" s="3" t="s">
        <v>195</v>
      </c>
      <c r="M13" s="3" t="s">
        <v>196</v>
      </c>
      <c r="N13" s="3" t="s">
        <v>197</v>
      </c>
      <c r="O13" s="3" t="s">
        <v>198</v>
      </c>
      <c r="P13" s="3" t="s">
        <v>199</v>
      </c>
      <c r="Q13" s="6" t="s">
        <v>81</v>
      </c>
      <c r="R13" s="3" t="s">
        <v>44</v>
      </c>
      <c r="S13" s="6" t="s">
        <v>200</v>
      </c>
      <c r="T13" s="7" t="s">
        <v>201</v>
      </c>
      <c r="U13" s="6" t="s">
        <v>202</v>
      </c>
      <c r="V13" s="3" t="s">
        <v>203</v>
      </c>
      <c r="W13" s="3" t="s">
        <v>121</v>
      </c>
      <c r="X13" s="3"/>
      <c r="Y13" s="3" t="s">
        <v>122</v>
      </c>
      <c r="Z13" s="3" t="s">
        <v>204</v>
      </c>
      <c r="AA13" s="7" t="s">
        <v>53</v>
      </c>
    </row>
    <row r="14" customFormat="false" ht="120" hidden="false" customHeight="true" outlineLevel="0" collapsed="false">
      <c r="A14" s="2" t="s">
        <v>205</v>
      </c>
      <c r="B14" s="3" t="s">
        <v>28</v>
      </c>
      <c r="C14" s="3" t="s">
        <v>111</v>
      </c>
      <c r="D14" s="4" t="s">
        <v>30</v>
      </c>
      <c r="E14" s="3" t="s">
        <v>31</v>
      </c>
      <c r="F14" s="3" t="s">
        <v>32</v>
      </c>
      <c r="G14" s="3" t="s">
        <v>94</v>
      </c>
      <c r="H14" s="3" t="s">
        <v>95</v>
      </c>
      <c r="I14" s="3" t="s">
        <v>59</v>
      </c>
      <c r="J14" s="3" t="s">
        <v>60</v>
      </c>
      <c r="K14" s="5" t="s">
        <v>37</v>
      </c>
      <c r="L14" s="3" t="s">
        <v>206</v>
      </c>
      <c r="M14" s="3" t="s">
        <v>207</v>
      </c>
      <c r="N14" s="3" t="s">
        <v>208</v>
      </c>
      <c r="O14" s="3" t="s">
        <v>209</v>
      </c>
      <c r="P14" s="3" t="s">
        <v>210</v>
      </c>
      <c r="Q14" s="6" t="s">
        <v>211</v>
      </c>
      <c r="R14" s="3" t="s">
        <v>44</v>
      </c>
      <c r="S14" s="6" t="s">
        <v>212</v>
      </c>
      <c r="T14" s="7" t="s">
        <v>213</v>
      </c>
      <c r="U14" s="6" t="s">
        <v>214</v>
      </c>
      <c r="V14" s="3" t="s">
        <v>215</v>
      </c>
      <c r="W14" s="3" t="s">
        <v>121</v>
      </c>
      <c r="X14" s="3"/>
      <c r="Y14" s="3" t="s">
        <v>122</v>
      </c>
      <c r="Z14" s="3" t="s">
        <v>204</v>
      </c>
      <c r="AA14" s="7" t="s">
        <v>53</v>
      </c>
    </row>
    <row r="15" customFormat="false" ht="120" hidden="false" customHeight="true" outlineLevel="0" collapsed="false">
      <c r="A15" s="2" t="s">
        <v>216</v>
      </c>
      <c r="B15" s="3" t="s">
        <v>28</v>
      </c>
      <c r="C15" s="3" t="s">
        <v>111</v>
      </c>
      <c r="D15" s="4" t="s">
        <v>30</v>
      </c>
      <c r="E15" s="3" t="s">
        <v>31</v>
      </c>
      <c r="F15" s="3" t="s">
        <v>32</v>
      </c>
      <c r="G15" s="3" t="s">
        <v>94</v>
      </c>
      <c r="H15" s="3" t="s">
        <v>95</v>
      </c>
      <c r="I15" s="3" t="s">
        <v>35</v>
      </c>
      <c r="J15" s="3" t="s">
        <v>36</v>
      </c>
      <c r="K15" s="5" t="s">
        <v>37</v>
      </c>
      <c r="L15" s="3" t="s">
        <v>217</v>
      </c>
      <c r="M15" s="3" t="s">
        <v>218</v>
      </c>
      <c r="N15" s="3" t="s">
        <v>219</v>
      </c>
      <c r="O15" s="3" t="s">
        <v>220</v>
      </c>
      <c r="P15" s="3" t="s">
        <v>221</v>
      </c>
      <c r="Q15" s="6" t="s">
        <v>81</v>
      </c>
      <c r="R15" s="3" t="s">
        <v>44</v>
      </c>
      <c r="S15" s="6" t="s">
        <v>222</v>
      </c>
      <c r="T15" s="7" t="s">
        <v>223</v>
      </c>
      <c r="U15" s="6" t="s">
        <v>224</v>
      </c>
      <c r="V15" s="3" t="s">
        <v>225</v>
      </c>
      <c r="W15" s="3" t="s">
        <v>121</v>
      </c>
      <c r="X15" s="3"/>
      <c r="Y15" s="3" t="s">
        <v>122</v>
      </c>
      <c r="Z15" s="3" t="s">
        <v>226</v>
      </c>
      <c r="AA15" s="7" t="s">
        <v>53</v>
      </c>
    </row>
    <row r="16" customFormat="false" ht="120" hidden="false" customHeight="true" outlineLevel="0" collapsed="false">
      <c r="A16" s="2" t="s">
        <v>227</v>
      </c>
      <c r="B16" s="3" t="s">
        <v>28</v>
      </c>
      <c r="C16" s="3" t="s">
        <v>111</v>
      </c>
      <c r="D16" s="8" t="s">
        <v>56</v>
      </c>
      <c r="E16" s="3" t="s">
        <v>57</v>
      </c>
      <c r="F16" s="3" t="s">
        <v>58</v>
      </c>
      <c r="G16" s="3" t="s">
        <v>228</v>
      </c>
      <c r="H16" s="3" t="s">
        <v>229</v>
      </c>
      <c r="I16" s="3" t="s">
        <v>35</v>
      </c>
      <c r="J16" s="3" t="s">
        <v>36</v>
      </c>
      <c r="K16" s="5" t="s">
        <v>37</v>
      </c>
      <c r="L16" s="3" t="s">
        <v>230</v>
      </c>
      <c r="M16" s="3" t="s">
        <v>231</v>
      </c>
      <c r="N16" s="3" t="s">
        <v>232</v>
      </c>
      <c r="O16" s="3" t="s">
        <v>233</v>
      </c>
      <c r="P16" s="3" t="s">
        <v>234</v>
      </c>
      <c r="Q16" s="6" t="s">
        <v>235</v>
      </c>
      <c r="R16" s="3" t="s">
        <v>44</v>
      </c>
      <c r="S16" s="6" t="s">
        <v>236</v>
      </c>
      <c r="T16" s="7" t="s">
        <v>237</v>
      </c>
      <c r="U16" s="6" t="s">
        <v>238</v>
      </c>
      <c r="V16" s="3" t="s">
        <v>225</v>
      </c>
      <c r="W16" s="3" t="s">
        <v>121</v>
      </c>
      <c r="X16" s="3"/>
      <c r="Y16" s="3" t="s">
        <v>122</v>
      </c>
      <c r="Z16" s="3" t="s">
        <v>226</v>
      </c>
      <c r="AA16" s="7" t="s">
        <v>53</v>
      </c>
    </row>
    <row r="17" customFormat="false" ht="120" hidden="false" customHeight="true" outlineLevel="0" collapsed="false">
      <c r="A17" s="2" t="s">
        <v>239</v>
      </c>
      <c r="B17" s="3" t="s">
        <v>28</v>
      </c>
      <c r="C17" s="3" t="s">
        <v>111</v>
      </c>
      <c r="D17" s="8" t="s">
        <v>56</v>
      </c>
      <c r="E17" s="3" t="s">
        <v>57</v>
      </c>
      <c r="F17" s="3" t="s">
        <v>58</v>
      </c>
      <c r="G17" s="3" t="s">
        <v>240</v>
      </c>
      <c r="H17" s="3" t="s">
        <v>93</v>
      </c>
      <c r="I17" s="3" t="s">
        <v>193</v>
      </c>
      <c r="J17" s="3" t="s">
        <v>194</v>
      </c>
      <c r="K17" s="5" t="s">
        <v>37</v>
      </c>
      <c r="L17" s="3" t="s">
        <v>241</v>
      </c>
      <c r="M17" s="3" t="s">
        <v>242</v>
      </c>
      <c r="N17" s="3" t="s">
        <v>243</v>
      </c>
      <c r="O17" s="3" t="s">
        <v>244</v>
      </c>
      <c r="P17" s="3" t="s">
        <v>245</v>
      </c>
      <c r="Q17" s="6" t="s">
        <v>81</v>
      </c>
      <c r="R17" s="3" t="s">
        <v>44</v>
      </c>
      <c r="S17" s="6" t="s">
        <v>246</v>
      </c>
      <c r="T17" s="7" t="s">
        <v>247</v>
      </c>
      <c r="U17" s="6" t="s">
        <v>248</v>
      </c>
      <c r="V17" s="3" t="s">
        <v>225</v>
      </c>
      <c r="W17" s="3" t="s">
        <v>121</v>
      </c>
      <c r="X17" s="3"/>
      <c r="Y17" s="3" t="s">
        <v>122</v>
      </c>
      <c r="Z17" s="3" t="s">
        <v>204</v>
      </c>
      <c r="AA17" s="7" t="s">
        <v>53</v>
      </c>
    </row>
    <row r="18" customFormat="false" ht="120" hidden="false" customHeight="true" outlineLevel="0" collapsed="false">
      <c r="A18" s="2" t="s">
        <v>249</v>
      </c>
      <c r="B18" s="3" t="s">
        <v>28</v>
      </c>
      <c r="C18" s="3" t="s">
        <v>111</v>
      </c>
      <c r="D18" s="4" t="s">
        <v>30</v>
      </c>
      <c r="E18" s="3" t="s">
        <v>31</v>
      </c>
      <c r="F18" s="3" t="s">
        <v>32</v>
      </c>
      <c r="G18" s="3" t="s">
        <v>94</v>
      </c>
      <c r="H18" s="3" t="s">
        <v>95</v>
      </c>
      <c r="I18" s="3" t="s">
        <v>250</v>
      </c>
      <c r="J18" s="3" t="s">
        <v>251</v>
      </c>
      <c r="K18" s="5" t="s">
        <v>37</v>
      </c>
      <c r="L18" s="3" t="s">
        <v>252</v>
      </c>
      <c r="M18" s="3" t="s">
        <v>253</v>
      </c>
      <c r="N18" s="3" t="s">
        <v>254</v>
      </c>
      <c r="O18" s="3" t="s">
        <v>255</v>
      </c>
      <c r="P18" s="3" t="s">
        <v>256</v>
      </c>
      <c r="Q18" s="6" t="s">
        <v>257</v>
      </c>
      <c r="R18" s="3" t="s">
        <v>44</v>
      </c>
      <c r="S18" s="6" t="s">
        <v>258</v>
      </c>
      <c r="T18" s="7" t="s">
        <v>259</v>
      </c>
      <c r="U18" s="6" t="s">
        <v>260</v>
      </c>
      <c r="V18" s="3" t="s">
        <v>261</v>
      </c>
      <c r="W18" s="3" t="s">
        <v>121</v>
      </c>
      <c r="X18" s="3"/>
      <c r="Y18" s="3" t="s">
        <v>122</v>
      </c>
      <c r="Z18" s="3" t="s">
        <v>204</v>
      </c>
      <c r="AA18" s="7" t="s">
        <v>53</v>
      </c>
    </row>
    <row r="19" customFormat="false" ht="120" hidden="false" customHeight="true" outlineLevel="0" collapsed="false">
      <c r="A19" s="2" t="s">
        <v>262</v>
      </c>
      <c r="B19" s="3" t="s">
        <v>28</v>
      </c>
      <c r="C19" s="3" t="s">
        <v>111</v>
      </c>
      <c r="D19" s="10" t="s">
        <v>136</v>
      </c>
      <c r="E19" s="3" t="s">
        <v>137</v>
      </c>
      <c r="F19" s="3" t="s">
        <v>138</v>
      </c>
      <c r="G19" s="3" t="s">
        <v>228</v>
      </c>
      <c r="H19" s="3" t="s">
        <v>229</v>
      </c>
      <c r="I19" s="3" t="s">
        <v>263</v>
      </c>
      <c r="J19" s="3" t="s">
        <v>264</v>
      </c>
      <c r="K19" s="5" t="s">
        <v>37</v>
      </c>
      <c r="L19" s="3" t="s">
        <v>265</v>
      </c>
      <c r="M19" s="3" t="s">
        <v>266</v>
      </c>
      <c r="N19" s="3" t="s">
        <v>267</v>
      </c>
      <c r="O19" s="3" t="s">
        <v>268</v>
      </c>
      <c r="P19" s="3" t="s">
        <v>269</v>
      </c>
      <c r="Q19" s="6" t="s">
        <v>154</v>
      </c>
      <c r="R19" s="3" t="s">
        <v>44</v>
      </c>
      <c r="S19" s="6" t="s">
        <v>270</v>
      </c>
      <c r="T19" s="7" t="s">
        <v>271</v>
      </c>
      <c r="U19" s="6" t="s">
        <v>272</v>
      </c>
      <c r="V19" s="3" t="s">
        <v>225</v>
      </c>
      <c r="W19" s="3" t="s">
        <v>121</v>
      </c>
      <c r="X19" s="3"/>
      <c r="Y19" s="3" t="s">
        <v>122</v>
      </c>
      <c r="Z19" s="3" t="s">
        <v>204</v>
      </c>
      <c r="AA19" s="7" t="s">
        <v>53</v>
      </c>
    </row>
    <row r="20" customFormat="false" ht="120" hidden="false" customHeight="true" outlineLevel="0" collapsed="false">
      <c r="A20" s="2" t="s">
        <v>273</v>
      </c>
      <c r="B20" s="3" t="s">
        <v>28</v>
      </c>
      <c r="C20" s="3" t="s">
        <v>274</v>
      </c>
      <c r="D20" s="8" t="s">
        <v>56</v>
      </c>
      <c r="E20" s="3" t="s">
        <v>57</v>
      </c>
      <c r="F20" s="3" t="s">
        <v>58</v>
      </c>
      <c r="G20" s="3" t="s">
        <v>33</v>
      </c>
      <c r="H20" s="3" t="s">
        <v>34</v>
      </c>
      <c r="I20" s="3" t="s">
        <v>263</v>
      </c>
      <c r="J20" s="3" t="s">
        <v>264</v>
      </c>
      <c r="K20" s="5" t="s">
        <v>37</v>
      </c>
      <c r="L20" s="3" t="s">
        <v>275</v>
      </c>
      <c r="M20" s="3" t="s">
        <v>276</v>
      </c>
      <c r="N20" s="3" t="s">
        <v>277</v>
      </c>
      <c r="O20" s="3" t="s">
        <v>278</v>
      </c>
      <c r="P20" s="3" t="s">
        <v>279</v>
      </c>
      <c r="Q20" s="6" t="s">
        <v>101</v>
      </c>
      <c r="R20" s="3" t="s">
        <v>44</v>
      </c>
      <c r="S20" s="6" t="s">
        <v>280</v>
      </c>
      <c r="T20" s="7" t="s">
        <v>281</v>
      </c>
      <c r="U20" s="6" t="s">
        <v>282</v>
      </c>
      <c r="V20" s="3" t="s">
        <v>283</v>
      </c>
      <c r="W20" s="3" t="s">
        <v>121</v>
      </c>
      <c r="X20" s="3" t="s">
        <v>107</v>
      </c>
      <c r="Y20" s="3" t="s">
        <v>284</v>
      </c>
      <c r="Z20" s="3" t="s">
        <v>285</v>
      </c>
      <c r="AA20" s="7" t="s">
        <v>53</v>
      </c>
    </row>
    <row r="21" customFormat="false" ht="120" hidden="false" customHeight="true" outlineLevel="0" collapsed="false">
      <c r="A21" s="2" t="s">
        <v>286</v>
      </c>
      <c r="B21" s="3" t="s">
        <v>28</v>
      </c>
      <c r="C21" s="3" t="s">
        <v>287</v>
      </c>
      <c r="D21" s="4" t="s">
        <v>30</v>
      </c>
      <c r="E21" s="3" t="s">
        <v>31</v>
      </c>
      <c r="F21" s="3" t="s">
        <v>32</v>
      </c>
      <c r="G21" s="3" t="s">
        <v>33</v>
      </c>
      <c r="H21" s="3" t="s">
        <v>34</v>
      </c>
      <c r="I21" s="3" t="s">
        <v>59</v>
      </c>
      <c r="J21" s="3" t="s">
        <v>60</v>
      </c>
      <c r="K21" s="5" t="s">
        <v>37</v>
      </c>
      <c r="L21" s="3" t="s">
        <v>288</v>
      </c>
      <c r="M21" s="3" t="s">
        <v>289</v>
      </c>
      <c r="N21" s="3" t="s">
        <v>290</v>
      </c>
      <c r="O21" s="3" t="s">
        <v>291</v>
      </c>
      <c r="P21" s="3" t="s">
        <v>292</v>
      </c>
      <c r="Q21" s="6" t="s">
        <v>144</v>
      </c>
      <c r="R21" s="3" t="s">
        <v>44</v>
      </c>
      <c r="S21" s="6" t="s">
        <v>293</v>
      </c>
      <c r="T21" s="7" t="s">
        <v>294</v>
      </c>
      <c r="U21" s="6" t="s">
        <v>295</v>
      </c>
      <c r="V21" s="3" t="s">
        <v>283</v>
      </c>
      <c r="W21" s="3" t="s">
        <v>121</v>
      </c>
      <c r="X21" s="3" t="s">
        <v>123</v>
      </c>
      <c r="Y21" s="3" t="s">
        <v>296</v>
      </c>
      <c r="Z21" s="3" t="s">
        <v>297</v>
      </c>
      <c r="AA21" s="7" t="s">
        <v>53</v>
      </c>
    </row>
    <row r="22" customFormat="false" ht="120" hidden="false" customHeight="true" outlineLevel="0" collapsed="false">
      <c r="A22" s="2" t="s">
        <v>298</v>
      </c>
      <c r="B22" s="3" t="s">
        <v>28</v>
      </c>
      <c r="C22" s="3" t="s">
        <v>287</v>
      </c>
      <c r="D22" s="4" t="s">
        <v>30</v>
      </c>
      <c r="E22" s="3" t="s">
        <v>31</v>
      </c>
      <c r="F22" s="3" t="s">
        <v>32</v>
      </c>
      <c r="G22" s="3" t="s">
        <v>33</v>
      </c>
      <c r="H22" s="3" t="s">
        <v>34</v>
      </c>
      <c r="I22" s="3" t="s">
        <v>59</v>
      </c>
      <c r="J22" s="3" t="s">
        <v>60</v>
      </c>
      <c r="K22" s="5" t="s">
        <v>37</v>
      </c>
      <c r="L22" s="3" t="s">
        <v>299</v>
      </c>
      <c r="M22" s="3" t="s">
        <v>300</v>
      </c>
      <c r="N22" s="3" t="s">
        <v>301</v>
      </c>
      <c r="O22" s="3" t="s">
        <v>302</v>
      </c>
      <c r="P22" s="3" t="s">
        <v>303</v>
      </c>
      <c r="Q22" s="6" t="s">
        <v>144</v>
      </c>
      <c r="R22" s="3" t="s">
        <v>44</v>
      </c>
      <c r="S22" s="6" t="s">
        <v>304</v>
      </c>
      <c r="T22" s="7" t="s">
        <v>305</v>
      </c>
      <c r="U22" s="6" t="s">
        <v>306</v>
      </c>
      <c r="V22" s="3" t="s">
        <v>283</v>
      </c>
      <c r="W22" s="3" t="s">
        <v>121</v>
      </c>
      <c r="X22" s="3" t="s">
        <v>123</v>
      </c>
      <c r="Y22" s="3" t="s">
        <v>296</v>
      </c>
      <c r="Z22" s="3" t="s">
        <v>297</v>
      </c>
      <c r="AA22" s="7" t="s">
        <v>53</v>
      </c>
    </row>
    <row r="23" customFormat="false" ht="120" hidden="false" customHeight="true" outlineLevel="0" collapsed="false">
      <c r="A23" s="2" t="s">
        <v>307</v>
      </c>
      <c r="B23" s="3" t="s">
        <v>28</v>
      </c>
      <c r="C23" s="3" t="s">
        <v>287</v>
      </c>
      <c r="D23" s="4" t="s">
        <v>30</v>
      </c>
      <c r="E23" s="3" t="s">
        <v>31</v>
      </c>
      <c r="F23" s="3" t="s">
        <v>32</v>
      </c>
      <c r="G23" s="3" t="s">
        <v>33</v>
      </c>
      <c r="H23" s="3" t="s">
        <v>34</v>
      </c>
      <c r="I23" s="3" t="s">
        <v>59</v>
      </c>
      <c r="J23" s="3" t="s">
        <v>60</v>
      </c>
      <c r="K23" s="5" t="s">
        <v>37</v>
      </c>
      <c r="L23" s="3" t="s">
        <v>308</v>
      </c>
      <c r="M23" s="3" t="s">
        <v>309</v>
      </c>
      <c r="N23" s="3" t="s">
        <v>310</v>
      </c>
      <c r="O23" s="3" t="s">
        <v>311</v>
      </c>
      <c r="P23" s="3" t="s">
        <v>312</v>
      </c>
      <c r="Q23" s="6" t="s">
        <v>144</v>
      </c>
      <c r="R23" s="3" t="s">
        <v>44</v>
      </c>
      <c r="S23" s="6" t="s">
        <v>313</v>
      </c>
      <c r="T23" s="7" t="s">
        <v>314</v>
      </c>
      <c r="U23" s="6" t="s">
        <v>315</v>
      </c>
      <c r="V23" s="3" t="s">
        <v>316</v>
      </c>
      <c r="W23" s="3" t="s">
        <v>121</v>
      </c>
      <c r="X23" s="3" t="s">
        <v>134</v>
      </c>
      <c r="Y23" s="3" t="s">
        <v>296</v>
      </c>
      <c r="Z23" s="3" t="s">
        <v>297</v>
      </c>
      <c r="AA23" s="7" t="s">
        <v>53</v>
      </c>
    </row>
    <row r="24" customFormat="false" ht="120" hidden="false" customHeight="true" outlineLevel="0" collapsed="false">
      <c r="A24" s="2" t="s">
        <v>317</v>
      </c>
      <c r="B24" s="3" t="s">
        <v>28</v>
      </c>
      <c r="C24" s="3" t="s">
        <v>318</v>
      </c>
      <c r="D24" s="4" t="s">
        <v>30</v>
      </c>
      <c r="E24" s="3" t="s">
        <v>31</v>
      </c>
      <c r="F24" s="3" t="s">
        <v>32</v>
      </c>
      <c r="G24" s="3" t="s">
        <v>33</v>
      </c>
      <c r="H24" s="3" t="s">
        <v>34</v>
      </c>
      <c r="I24" s="3" t="s">
        <v>59</v>
      </c>
      <c r="J24" s="3" t="s">
        <v>60</v>
      </c>
      <c r="K24" s="5" t="s">
        <v>37</v>
      </c>
      <c r="L24" s="3" t="s">
        <v>319</v>
      </c>
      <c r="M24" s="3" t="s">
        <v>320</v>
      </c>
      <c r="N24" s="3" t="s">
        <v>321</v>
      </c>
      <c r="O24" s="3" t="s">
        <v>322</v>
      </c>
      <c r="P24" s="3" t="s">
        <v>323</v>
      </c>
      <c r="Q24" s="6" t="s">
        <v>154</v>
      </c>
      <c r="R24" s="3" t="s">
        <v>44</v>
      </c>
      <c r="S24" s="6" t="s">
        <v>324</v>
      </c>
      <c r="T24" s="7" t="s">
        <v>325</v>
      </c>
      <c r="U24" s="6" t="s">
        <v>326</v>
      </c>
      <c r="V24" s="3" t="s">
        <v>327</v>
      </c>
      <c r="W24" s="3" t="s">
        <v>328</v>
      </c>
      <c r="X24" s="3" t="s">
        <v>297</v>
      </c>
      <c r="Y24" s="3" t="s">
        <v>329</v>
      </c>
      <c r="Z24" s="3" t="s">
        <v>330</v>
      </c>
      <c r="AA24" s="7" t="s">
        <v>53</v>
      </c>
    </row>
    <row r="25" customFormat="false" ht="120" hidden="false" customHeight="true" outlineLevel="0" collapsed="false">
      <c r="A25" s="2" t="s">
        <v>331</v>
      </c>
      <c r="B25" s="3" t="s">
        <v>28</v>
      </c>
      <c r="C25" s="3" t="s">
        <v>287</v>
      </c>
      <c r="D25" s="4" t="s">
        <v>30</v>
      </c>
      <c r="E25" s="3" t="s">
        <v>31</v>
      </c>
      <c r="F25" s="3" t="s">
        <v>32</v>
      </c>
      <c r="G25" s="3" t="s">
        <v>33</v>
      </c>
      <c r="H25" s="3" t="s">
        <v>34</v>
      </c>
      <c r="I25" s="3" t="s">
        <v>59</v>
      </c>
      <c r="J25" s="3" t="s">
        <v>60</v>
      </c>
      <c r="K25" s="5" t="s">
        <v>37</v>
      </c>
      <c r="L25" s="3" t="s">
        <v>332</v>
      </c>
      <c r="M25" s="3" t="s">
        <v>333</v>
      </c>
      <c r="N25" s="3" t="s">
        <v>334</v>
      </c>
      <c r="O25" s="3" t="s">
        <v>335</v>
      </c>
      <c r="P25" s="3" t="s">
        <v>336</v>
      </c>
      <c r="Q25" s="6" t="s">
        <v>130</v>
      </c>
      <c r="R25" s="3" t="s">
        <v>44</v>
      </c>
      <c r="S25" s="6" t="s">
        <v>337</v>
      </c>
      <c r="T25" s="7" t="s">
        <v>338</v>
      </c>
      <c r="U25" s="6" t="s">
        <v>176</v>
      </c>
      <c r="V25" s="3" t="s">
        <v>283</v>
      </c>
      <c r="W25" s="3" t="s">
        <v>121</v>
      </c>
      <c r="X25" s="3" t="s">
        <v>123</v>
      </c>
      <c r="Y25" s="3" t="s">
        <v>296</v>
      </c>
      <c r="Z25" s="3" t="s">
        <v>297</v>
      </c>
      <c r="AA25" s="7" t="s">
        <v>53</v>
      </c>
    </row>
    <row r="26" customFormat="false" ht="120" hidden="false" customHeight="true" outlineLevel="0" collapsed="false">
      <c r="A26" s="2" t="s">
        <v>339</v>
      </c>
      <c r="B26" s="3" t="s">
        <v>28</v>
      </c>
      <c r="C26" s="3" t="s">
        <v>287</v>
      </c>
      <c r="D26" s="10" t="s">
        <v>136</v>
      </c>
      <c r="E26" s="3" t="s">
        <v>137</v>
      </c>
      <c r="F26" s="3" t="s">
        <v>138</v>
      </c>
      <c r="G26" s="3" t="s">
        <v>94</v>
      </c>
      <c r="H26" s="3" t="s">
        <v>95</v>
      </c>
      <c r="I26" s="3" t="s">
        <v>59</v>
      </c>
      <c r="J26" s="3" t="s">
        <v>60</v>
      </c>
      <c r="K26" s="5" t="s">
        <v>37</v>
      </c>
      <c r="L26" s="3" t="s">
        <v>340</v>
      </c>
      <c r="M26" s="3" t="s">
        <v>341</v>
      </c>
      <c r="N26" s="3" t="s">
        <v>342</v>
      </c>
      <c r="O26" s="3" t="s">
        <v>343</v>
      </c>
      <c r="P26" s="3" t="s">
        <v>344</v>
      </c>
      <c r="Q26" s="6" t="s">
        <v>154</v>
      </c>
      <c r="R26" s="3" t="s">
        <v>44</v>
      </c>
      <c r="S26" s="6" t="s">
        <v>345</v>
      </c>
      <c r="T26" s="7" t="s">
        <v>346</v>
      </c>
      <c r="U26" s="6" t="s">
        <v>347</v>
      </c>
      <c r="V26" s="3" t="s">
        <v>283</v>
      </c>
      <c r="W26" s="3" t="s">
        <v>121</v>
      </c>
      <c r="X26" s="3" t="s">
        <v>123</v>
      </c>
      <c r="Y26" s="3" t="s">
        <v>296</v>
      </c>
      <c r="Z26" s="3" t="s">
        <v>297</v>
      </c>
      <c r="AA26" s="7" t="s">
        <v>53</v>
      </c>
    </row>
    <row r="27" customFormat="false" ht="120" hidden="false" customHeight="true" outlineLevel="0" collapsed="false">
      <c r="A27" s="2" t="s">
        <v>348</v>
      </c>
      <c r="B27" s="3" t="s">
        <v>28</v>
      </c>
      <c r="C27" s="3" t="s">
        <v>287</v>
      </c>
      <c r="D27" s="8" t="s">
        <v>56</v>
      </c>
      <c r="E27" s="3" t="s">
        <v>57</v>
      </c>
      <c r="F27" s="3" t="s">
        <v>58</v>
      </c>
      <c r="G27" s="3" t="s">
        <v>94</v>
      </c>
      <c r="H27" s="3" t="s">
        <v>95</v>
      </c>
      <c r="I27" s="3" t="s">
        <v>59</v>
      </c>
      <c r="J27" s="3" t="s">
        <v>60</v>
      </c>
      <c r="K27" s="5" t="s">
        <v>37</v>
      </c>
      <c r="L27" s="3" t="s">
        <v>349</v>
      </c>
      <c r="M27" s="3" t="s">
        <v>350</v>
      </c>
      <c r="N27" s="3" t="s">
        <v>351</v>
      </c>
      <c r="O27" s="3" t="s">
        <v>352</v>
      </c>
      <c r="P27" s="3" t="s">
        <v>353</v>
      </c>
      <c r="Q27" s="6" t="s">
        <v>43</v>
      </c>
      <c r="R27" s="3" t="s">
        <v>44</v>
      </c>
      <c r="S27" s="6" t="s">
        <v>354</v>
      </c>
      <c r="T27" s="7" t="s">
        <v>355</v>
      </c>
      <c r="U27" s="6" t="s">
        <v>356</v>
      </c>
      <c r="V27" s="3" t="s">
        <v>283</v>
      </c>
      <c r="W27" s="3" t="s">
        <v>121</v>
      </c>
      <c r="X27" s="3" t="s">
        <v>134</v>
      </c>
      <c r="Y27" s="3" t="s">
        <v>296</v>
      </c>
      <c r="Z27" s="3" t="s">
        <v>297</v>
      </c>
      <c r="AA27" s="7" t="s">
        <v>53</v>
      </c>
    </row>
    <row r="28" customFormat="false" ht="120" hidden="false" customHeight="true" outlineLevel="0" collapsed="false">
      <c r="A28" s="2" t="s">
        <v>357</v>
      </c>
      <c r="B28" s="3" t="s">
        <v>28</v>
      </c>
      <c r="C28" s="3" t="s">
        <v>318</v>
      </c>
      <c r="D28" s="10" t="s">
        <v>136</v>
      </c>
      <c r="E28" s="3" t="s">
        <v>137</v>
      </c>
      <c r="F28" s="3" t="s">
        <v>138</v>
      </c>
      <c r="G28" s="3" t="s">
        <v>94</v>
      </c>
      <c r="H28" s="3" t="s">
        <v>95</v>
      </c>
      <c r="I28" s="3" t="s">
        <v>263</v>
      </c>
      <c r="J28" s="3" t="s">
        <v>264</v>
      </c>
      <c r="K28" s="5" t="s">
        <v>37</v>
      </c>
      <c r="L28" s="3" t="s">
        <v>358</v>
      </c>
      <c r="M28" s="3" t="s">
        <v>359</v>
      </c>
      <c r="N28" s="3" t="s">
        <v>360</v>
      </c>
      <c r="O28" s="3" t="s">
        <v>361</v>
      </c>
      <c r="P28" s="3" t="s">
        <v>362</v>
      </c>
      <c r="Q28" s="6" t="s">
        <v>154</v>
      </c>
      <c r="R28" s="3" t="s">
        <v>44</v>
      </c>
      <c r="S28" s="6" t="s">
        <v>363</v>
      </c>
      <c r="T28" s="7" t="s">
        <v>364</v>
      </c>
      <c r="U28" s="6" t="s">
        <v>365</v>
      </c>
      <c r="V28" s="3" t="s">
        <v>366</v>
      </c>
      <c r="W28" s="3" t="s">
        <v>328</v>
      </c>
      <c r="X28" s="3" t="s">
        <v>297</v>
      </c>
      <c r="Y28" s="3" t="s">
        <v>329</v>
      </c>
      <c r="Z28" s="3" t="s">
        <v>330</v>
      </c>
      <c r="AA28" s="7" t="s">
        <v>53</v>
      </c>
    </row>
    <row r="29" customFormat="false" ht="120" hidden="false" customHeight="true" outlineLevel="0" collapsed="false">
      <c r="A29" s="2" t="s">
        <v>367</v>
      </c>
      <c r="B29" s="3" t="s">
        <v>28</v>
      </c>
      <c r="C29" s="3" t="s">
        <v>368</v>
      </c>
      <c r="D29" s="4" t="s">
        <v>30</v>
      </c>
      <c r="E29" s="3" t="s">
        <v>31</v>
      </c>
      <c r="F29" s="3" t="s">
        <v>32</v>
      </c>
      <c r="G29" s="3" t="s">
        <v>94</v>
      </c>
      <c r="H29" s="3" t="s">
        <v>95</v>
      </c>
      <c r="I29" s="3" t="s">
        <v>35</v>
      </c>
      <c r="J29" s="3" t="s">
        <v>36</v>
      </c>
      <c r="K29" s="5" t="s">
        <v>37</v>
      </c>
      <c r="L29" s="3" t="s">
        <v>369</v>
      </c>
      <c r="M29" s="3" t="s">
        <v>370</v>
      </c>
      <c r="N29" s="3" t="s">
        <v>371</v>
      </c>
      <c r="O29" s="3" t="s">
        <v>372</v>
      </c>
      <c r="P29" s="3" t="s">
        <v>373</v>
      </c>
      <c r="Q29" s="6" t="s">
        <v>81</v>
      </c>
      <c r="R29" s="3" t="s">
        <v>374</v>
      </c>
      <c r="S29" s="6" t="s">
        <v>375</v>
      </c>
      <c r="T29" s="7" t="s">
        <v>376</v>
      </c>
      <c r="U29" s="6" t="s">
        <v>224</v>
      </c>
      <c r="V29" s="3" t="s">
        <v>377</v>
      </c>
      <c r="W29" s="3" t="s">
        <v>378</v>
      </c>
      <c r="X29" s="3" t="s">
        <v>86</v>
      </c>
      <c r="Y29" s="3" t="s">
        <v>379</v>
      </c>
      <c r="Z29" s="3" t="s">
        <v>380</v>
      </c>
      <c r="AA29" s="7" t="s">
        <v>53</v>
      </c>
    </row>
    <row r="30" customFormat="false" ht="120" hidden="false" customHeight="true" outlineLevel="0" collapsed="false">
      <c r="A30" s="2" t="s">
        <v>381</v>
      </c>
      <c r="B30" s="3" t="s">
        <v>28</v>
      </c>
      <c r="C30" s="3" t="s">
        <v>382</v>
      </c>
      <c r="D30" s="10" t="s">
        <v>136</v>
      </c>
      <c r="E30" s="3" t="s">
        <v>137</v>
      </c>
      <c r="F30" s="3" t="s">
        <v>138</v>
      </c>
      <c r="G30" s="3" t="s">
        <v>33</v>
      </c>
      <c r="H30" s="3" t="s">
        <v>34</v>
      </c>
      <c r="I30" s="3" t="s">
        <v>193</v>
      </c>
      <c r="J30" s="3" t="s">
        <v>194</v>
      </c>
      <c r="K30" s="5" t="s">
        <v>37</v>
      </c>
      <c r="L30" s="3" t="s">
        <v>383</v>
      </c>
      <c r="M30" s="3" t="s">
        <v>384</v>
      </c>
      <c r="N30" s="3" t="s">
        <v>385</v>
      </c>
      <c r="O30" s="3" t="s">
        <v>386</v>
      </c>
      <c r="P30" s="3" t="s">
        <v>387</v>
      </c>
      <c r="Q30" s="6" t="s">
        <v>81</v>
      </c>
      <c r="R30" s="3" t="s">
        <v>374</v>
      </c>
      <c r="S30" s="6" t="s">
        <v>388</v>
      </c>
      <c r="T30" s="7" t="s">
        <v>389</v>
      </c>
      <c r="U30" s="6" t="s">
        <v>390</v>
      </c>
      <c r="V30" s="3" t="s">
        <v>391</v>
      </c>
      <c r="W30" s="3" t="s">
        <v>328</v>
      </c>
      <c r="X30" s="3" t="s">
        <v>88</v>
      </c>
      <c r="Y30" s="3" t="s">
        <v>392</v>
      </c>
      <c r="Z30" s="3" t="s">
        <v>393</v>
      </c>
      <c r="AA30" s="7" t="s">
        <v>53</v>
      </c>
    </row>
    <row r="31" customFormat="false" ht="120" hidden="false" customHeight="true" outlineLevel="0" collapsed="false">
      <c r="A31" s="2" t="s">
        <v>394</v>
      </c>
      <c r="B31" s="3" t="s">
        <v>28</v>
      </c>
      <c r="C31" s="3" t="s">
        <v>382</v>
      </c>
      <c r="D31" s="10" t="s">
        <v>136</v>
      </c>
      <c r="E31" s="3" t="s">
        <v>137</v>
      </c>
      <c r="F31" s="3" t="s">
        <v>138</v>
      </c>
      <c r="G31" s="3" t="s">
        <v>33</v>
      </c>
      <c r="H31" s="3" t="s">
        <v>34</v>
      </c>
      <c r="I31" s="3" t="s">
        <v>193</v>
      </c>
      <c r="J31" s="3" t="s">
        <v>194</v>
      </c>
      <c r="K31" s="5" t="s">
        <v>37</v>
      </c>
      <c r="L31" s="3" t="s">
        <v>395</v>
      </c>
      <c r="M31" s="3" t="s">
        <v>396</v>
      </c>
      <c r="N31" s="3" t="s">
        <v>397</v>
      </c>
      <c r="O31" s="3" t="s">
        <v>398</v>
      </c>
      <c r="P31" s="3" t="s">
        <v>399</v>
      </c>
      <c r="Q31" s="6" t="s">
        <v>81</v>
      </c>
      <c r="R31" s="3" t="s">
        <v>374</v>
      </c>
      <c r="S31" s="6" t="s">
        <v>400</v>
      </c>
      <c r="T31" s="7" t="s">
        <v>401</v>
      </c>
      <c r="U31" s="6" t="s">
        <v>402</v>
      </c>
      <c r="V31" s="3" t="s">
        <v>403</v>
      </c>
      <c r="W31" s="3" t="s">
        <v>328</v>
      </c>
      <c r="X31" s="3" t="s">
        <v>204</v>
      </c>
      <c r="Y31" s="3" t="s">
        <v>392</v>
      </c>
      <c r="Z31" s="3" t="s">
        <v>393</v>
      </c>
      <c r="AA31" s="7" t="s">
        <v>53</v>
      </c>
    </row>
    <row r="32" customFormat="false" ht="120" hidden="false" customHeight="true" outlineLevel="0" collapsed="false">
      <c r="A32" s="2" t="s">
        <v>404</v>
      </c>
      <c r="B32" s="3" t="s">
        <v>28</v>
      </c>
      <c r="C32" s="3" t="s">
        <v>382</v>
      </c>
      <c r="D32" s="10" t="s">
        <v>136</v>
      </c>
      <c r="E32" s="3" t="s">
        <v>137</v>
      </c>
      <c r="F32" s="3" t="s">
        <v>138</v>
      </c>
      <c r="G32" s="3" t="s">
        <v>33</v>
      </c>
      <c r="H32" s="3" t="s">
        <v>34</v>
      </c>
      <c r="I32" s="3" t="s">
        <v>59</v>
      </c>
      <c r="J32" s="3" t="s">
        <v>60</v>
      </c>
      <c r="K32" s="5" t="s">
        <v>37</v>
      </c>
      <c r="L32" s="3" t="s">
        <v>405</v>
      </c>
      <c r="M32" s="3" t="s">
        <v>406</v>
      </c>
      <c r="N32" s="3" t="s">
        <v>407</v>
      </c>
      <c r="O32" s="3" t="s">
        <v>408</v>
      </c>
      <c r="P32" s="3" t="s">
        <v>409</v>
      </c>
      <c r="Q32" s="6" t="s">
        <v>211</v>
      </c>
      <c r="R32" s="3" t="s">
        <v>374</v>
      </c>
      <c r="S32" s="6" t="s">
        <v>410</v>
      </c>
      <c r="T32" s="7" t="s">
        <v>411</v>
      </c>
      <c r="U32" s="6" t="s">
        <v>412</v>
      </c>
      <c r="V32" s="3" t="s">
        <v>391</v>
      </c>
      <c r="W32" s="3" t="s">
        <v>328</v>
      </c>
      <c r="X32" s="3" t="s">
        <v>204</v>
      </c>
      <c r="Y32" s="3" t="s">
        <v>392</v>
      </c>
      <c r="Z32" s="3" t="s">
        <v>393</v>
      </c>
      <c r="AA32" s="7" t="s">
        <v>53</v>
      </c>
    </row>
    <row r="33" customFormat="false" ht="120" hidden="false" customHeight="true" outlineLevel="0" collapsed="false">
      <c r="A33" s="2" t="s">
        <v>413</v>
      </c>
      <c r="B33" s="3" t="s">
        <v>28</v>
      </c>
      <c r="C33" s="3" t="s">
        <v>414</v>
      </c>
      <c r="D33" s="4" t="s">
        <v>30</v>
      </c>
      <c r="E33" s="3" t="s">
        <v>31</v>
      </c>
      <c r="F33" s="3" t="s">
        <v>32</v>
      </c>
      <c r="G33" s="3" t="s">
        <v>33</v>
      </c>
      <c r="H33" s="3" t="s">
        <v>34</v>
      </c>
      <c r="I33" s="3" t="s">
        <v>59</v>
      </c>
      <c r="J33" s="3" t="s">
        <v>60</v>
      </c>
      <c r="K33" s="5" t="s">
        <v>37</v>
      </c>
      <c r="L33" s="3" t="s">
        <v>415</v>
      </c>
      <c r="M33" s="3" t="s">
        <v>416</v>
      </c>
      <c r="N33" s="3" t="s">
        <v>417</v>
      </c>
      <c r="O33" s="3" t="s">
        <v>418</v>
      </c>
      <c r="P33" s="3" t="s">
        <v>419</v>
      </c>
      <c r="Q33" s="6" t="s">
        <v>130</v>
      </c>
      <c r="R33" s="3" t="s">
        <v>374</v>
      </c>
      <c r="S33" s="6" t="s">
        <v>420</v>
      </c>
      <c r="T33" s="7" t="s">
        <v>421</v>
      </c>
      <c r="U33" s="6" t="s">
        <v>422</v>
      </c>
      <c r="V33" s="3" t="s">
        <v>423</v>
      </c>
      <c r="W33" s="3" t="s">
        <v>106</v>
      </c>
      <c r="X33" s="3" t="s">
        <v>123</v>
      </c>
      <c r="Y33" s="3" t="s">
        <v>424</v>
      </c>
      <c r="Z33" s="3" t="s">
        <v>425</v>
      </c>
      <c r="AA33" s="7" t="s">
        <v>426</v>
      </c>
    </row>
    <row r="34" customFormat="false" ht="120" hidden="false" customHeight="true" outlineLevel="0" collapsed="false">
      <c r="A34" s="2" t="s">
        <v>427</v>
      </c>
      <c r="B34" s="3" t="s">
        <v>28</v>
      </c>
      <c r="C34" s="3" t="s">
        <v>428</v>
      </c>
      <c r="D34" s="8" t="s">
        <v>56</v>
      </c>
      <c r="E34" s="3" t="s">
        <v>57</v>
      </c>
      <c r="F34" s="3" t="s">
        <v>58</v>
      </c>
      <c r="G34" s="3" t="s">
        <v>33</v>
      </c>
      <c r="H34" s="3" t="s">
        <v>34</v>
      </c>
      <c r="I34" s="3" t="s">
        <v>429</v>
      </c>
      <c r="J34" s="3" t="s">
        <v>430</v>
      </c>
      <c r="K34" s="5" t="s">
        <v>37</v>
      </c>
      <c r="L34" s="3" t="s">
        <v>431</v>
      </c>
      <c r="M34" s="3" t="s">
        <v>432</v>
      </c>
      <c r="N34" s="3" t="s">
        <v>433</v>
      </c>
      <c r="O34" s="3" t="s">
        <v>434</v>
      </c>
      <c r="P34" s="3" t="s">
        <v>435</v>
      </c>
      <c r="Q34" s="6" t="s">
        <v>436</v>
      </c>
      <c r="R34" s="3" t="s">
        <v>374</v>
      </c>
      <c r="S34" s="6" t="s">
        <v>437</v>
      </c>
      <c r="T34" s="7" t="s">
        <v>438</v>
      </c>
      <c r="U34" s="6" t="s">
        <v>439</v>
      </c>
      <c r="V34" s="3" t="s">
        <v>440</v>
      </c>
      <c r="W34" s="3" t="s">
        <v>106</v>
      </c>
      <c r="X34" s="3" t="s">
        <v>107</v>
      </c>
      <c r="Y34" s="3" t="s">
        <v>441</v>
      </c>
      <c r="Z34" s="3" t="s">
        <v>442</v>
      </c>
      <c r="AA34" s="7" t="s">
        <v>426</v>
      </c>
    </row>
    <row r="35" customFormat="false" ht="120" hidden="false" customHeight="true" outlineLevel="0" collapsed="false">
      <c r="A35" s="2" t="s">
        <v>443</v>
      </c>
      <c r="B35" s="3" t="s">
        <v>28</v>
      </c>
      <c r="C35" s="3" t="s">
        <v>428</v>
      </c>
      <c r="D35" s="8" t="s">
        <v>56</v>
      </c>
      <c r="E35" s="3" t="s">
        <v>57</v>
      </c>
      <c r="F35" s="3" t="s">
        <v>58</v>
      </c>
      <c r="G35" s="3" t="s">
        <v>94</v>
      </c>
      <c r="H35" s="3" t="s">
        <v>95</v>
      </c>
      <c r="I35" s="3" t="s">
        <v>263</v>
      </c>
      <c r="J35" s="3" t="s">
        <v>264</v>
      </c>
      <c r="K35" s="5" t="s">
        <v>37</v>
      </c>
      <c r="L35" s="3" t="s">
        <v>444</v>
      </c>
      <c r="M35" s="3" t="s">
        <v>445</v>
      </c>
      <c r="N35" s="3" t="s">
        <v>446</v>
      </c>
      <c r="O35" s="3" t="s">
        <v>447</v>
      </c>
      <c r="P35" s="3" t="s">
        <v>448</v>
      </c>
      <c r="Q35" s="6" t="s">
        <v>101</v>
      </c>
      <c r="R35" s="3" t="s">
        <v>374</v>
      </c>
      <c r="S35" s="6" t="s">
        <v>449</v>
      </c>
      <c r="T35" s="7" t="s">
        <v>450</v>
      </c>
      <c r="U35" s="6" t="s">
        <v>451</v>
      </c>
      <c r="V35" s="3" t="s">
        <v>452</v>
      </c>
      <c r="W35" s="3" t="s">
        <v>106</v>
      </c>
      <c r="X35" s="3" t="s">
        <v>107</v>
      </c>
      <c r="Y35" s="3" t="s">
        <v>441</v>
      </c>
      <c r="Z35" s="3" t="s">
        <v>442</v>
      </c>
      <c r="AA35" s="7" t="s">
        <v>426</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 ref="T12" r:id="rId21" location="L9" display="https://github.com/spencerwon/navanax1/blob/feat/phase0-ingestion/pyproject.toml#L9"/>
    <hyperlink ref="AA12" r:id="rId22" display="#1"/>
    <hyperlink ref="T13" r:id="rId23" location="L166%20https://github.com/spencerwon/navanax1/blob/feat/phase0-ingestion/src/navanax/governor.py%23L150" display="https://github.com/spencerwon/navanax1/blob/feat/phase0-ingestion/src/navanax/governor.py#L166 https://github.com/spencerwon/navanax1/blob/feat/phase0-ingestion/src/navanax/governor.py#L150"/>
    <hyperlink ref="AA13" r:id="rId24" display="#1"/>
    <hyperlink ref="T14" r:id="rId25" location="L436" display="https://github.com/spencerwon/navanax1/blob/feat/phase0-ingestion/src/navanax/stream.py#L436"/>
    <hyperlink ref="AA14" r:id="rId26" display="#1"/>
    <hyperlink ref="T15" r:id="rId27" location="L129%20https://github.com/spencerwon/navanax1/blob/feat/phase0-ingestion/README.md%23L33%20https://github.com/spencerwon/navanax1/blob/feat/phase0-ingestion/setup.command%23L48" display="https://github.com/spencerwon/navanax1/blob/feat/phase0-ingestion/tools/preflight.py#L129 https://github.com/spencerwon/navanax1/blob/feat/phase0-ingestion/README.md#L33 https://github.com/spencerwon/navanax1/blob/feat/phase0-ingestion/setup.command#L48"/>
    <hyperlink ref="AA15" r:id="rId28" display="#1"/>
    <hyperlink ref="T16" r:id="rId29" location="L22%20https://github.com/spencerwon/navanax1/blob/feat/phase0-ingestion/src/navanax/governor.py%23L84" display="https://github.com/spencerwon/navanax1/blob/feat/phase0-ingestion/config/base.yaml#L22 https://github.com/spencerwon/navanax1/blob/feat/phase0-ingestion/src/navanax/governor.py#L84"/>
    <hyperlink ref="AA16" r:id="rId30" display="#1"/>
    <hyperlink ref="T17" r:id="rId31" location="L175" display="https://github.com/spencerwon/navanax1/blob/feat/phase0-ingestion/src/navanax/governor.py#L175"/>
    <hyperlink ref="AA17" r:id="rId32" display="#1"/>
    <hyperlink ref="T18" r:id="rId33" location="L214%20https://github.com/spencerwon/navanax1/blob/feat/phase0-ingestion/src/navanax/landing.py%23L174" display="https://github.com/spencerwon/navanax1/blob/feat/phase0-ingestion/src/navanax/stream.py#L214 https://github.com/spencerwon/navanax1/blob/feat/phase0-ingestion/src/navanax/landing.py#L174"/>
    <hyperlink ref="AA18" r:id="rId34" display="#1"/>
    <hyperlink ref="T19" r:id="rId35" location="L519" display="https://github.com/spencerwon/navanax1/blob/feat/phase0-ingestion/src/navanax/stream.py#L519"/>
    <hyperlink ref="AA19" r:id="rId36" display="#1"/>
    <hyperlink ref="T20" r:id="rId37" location="L1" display="https://github.com/spencerwon/navanax1/blob/feat/phase0-ingestion/.github/workflows/ci.yml#L1"/>
    <hyperlink ref="AA20" r:id="rId38" display="#1"/>
    <hyperlink ref="T21" r:id="rId39" location="L608" display="https://github.com/spencerwon/navanax1/blob/feat/phase0-ingestion/src/navanax/landing.py#L608"/>
    <hyperlink ref="AA21" r:id="rId40" display="#1"/>
    <hyperlink ref="T22" r:id="rId41" location="L310%20https://github.com/spencerwon/navanax1/blob/feat/phase0-ingestion/src/navanax/stream.py%23L416" display="https://github.com/spencerwon/navanax1/blob/feat/phase0-ingestion/src/navanax/landing.py#L310 https://github.com/spencerwon/navanax1/blob/feat/phase0-ingestion/src/navanax/stream.py#L416"/>
    <hyperlink ref="AA22" r:id="rId42" display="#1"/>
    <hyperlink ref="T23" r:id="rId43" location="L116%20https://github.com/spencerwon/navanax1/blob/feat/phase0-ingestion/src/navanax/cli.py%23L51" display="https://github.com/spencerwon/navanax1/blob/feat/phase0-ingestion/src/navanax/landing.py#L116 https://github.com/spencerwon/navanax1/blob/feat/phase0-ingestion/src/navanax/cli.py#L51"/>
    <hyperlink ref="AA23" r:id="rId44" display="#1"/>
    <hyperlink ref="T24" r:id="rId45" location="L486%20https://github.com/spencerwon/navanax1/blob/feat/phase0-ingestion/src/navanax/landing.py%23L447" display="https://github.com/spencerwon/navanax1/blob/feat/phase0-ingestion/src/navanax/stream.py#L486 https://github.com/spencerwon/navanax1/blob/feat/phase0-ingestion/src/navanax/landing.py#L447"/>
    <hyperlink ref="AA24" r:id="rId46" display="#1"/>
    <hyperlink ref="T25" r:id="rId47" location="L171%20https://github.com/spencerwon/navanax1/blob/feat/phase0-ingestion/src/navanax/codec.py%23L366" display="https://github.com/spencerwon/navanax1/blob/feat/phase0-ingestion/src/navanax/codec.py#L171 https://github.com/spencerwon/navanax1/blob/feat/phase0-ingestion/src/navanax/codec.py#L366"/>
    <hyperlink ref="AA25" r:id="rId48" display="#1"/>
    <hyperlink ref="T26" r:id="rId49" location="L291" display="https://github.com/spencerwon/navanax1/blob/feat/phase0-ingestion/src/navanax/stream.py#L291"/>
    <hyperlink ref="AA26" r:id="rId50" display="#1"/>
    <hyperlink ref="T27" r:id="rId51" location="L232" display="https://github.com/spencerwon/navanax1/blob/feat/phase0-ingestion/src/navanax/stream.py#L232"/>
    <hyperlink ref="AA27" r:id="rId52" display="#1"/>
    <hyperlink ref="T28" r:id="rId53" location="L64" display="https://github.com/spencerwon/navanax1/blob/feat/phase0-ingestion/src/navanax/cli.py#L64"/>
    <hyperlink ref="AA28" r:id="rId54" display="#1"/>
    <hyperlink ref="T29" r:id="rId55" location="L18%20https://github.com/spencerwon/navanax1/blob/tester/.claude/agents/research.md%23L18%20https://github.com/spencerwon/navanax1/blob/tester/.claude/agents/orchestrator.md%23L47%20https://github.com/spencerwon/navanax1/blob/tester/.claude/agents/build-r" display="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hyperlink ref="AA29" r:id="rId56" display="#1"/>
    <hyperlink ref="T30" r:id="rId57" location="L22%20https://github.com/spencerwon/navanax1/blob/tester/src/navanax/governor.py%23L169" display="https://github.com/spencerwon/navanax1/blob/tester/config/base.yaml#L22 https://github.com/spencerwon/navanax1/blob/tester/src/navanax/governor.py#L169"/>
    <hyperlink ref="AA30" r:id="rId58" display="#1"/>
    <hyperlink ref="T31" r:id="rId59" location="L217%20https://github.com/spencerwon/navanax1/blob/tester/src/navanax/governor.py%23L360" display="https://github.com/spencerwon/navanax1/blob/tester/src/navanax/governor.py#L217 https://github.com/spencerwon/navanax1/blob/tester/src/navanax/governor.py#L360"/>
    <hyperlink ref="AA31" r:id="rId60" display="#1"/>
    <hyperlink ref="T32" r:id="rId61" location="L208%20https://github.com/spencerwon/navanax1/blob/tester/src/navanax/cli.py%23L194" display="https://github.com/spencerwon/navanax1/blob/tester/src/navanax/opstore.py#L208 https://github.com/spencerwon/navanax1/blob/tester/src/navanax/cli.py#L194"/>
    <hyperlink ref="AA32" r:id="rId62" display="#1"/>
    <hyperlink ref="T33" r:id="rId63" location="L150%20https://github.com/spencerwon/navanax1/blob/tester/src/navanax/codec.py%23L168%20https://github.com/spencerwon/navanax1/blob/tester/src/navanax/codec.py%23L300" display="https://github.com/spencerwon/navanax1/blob/tester/src/navanax/codec.py#L150 https://github.com/spencerwon/navanax1/blob/tester/src/navanax/codec.py#L168 https://github.com/spencerwon/navanax1/blob/tester/src/navanax/codec.py#L300"/>
    <hyperlink ref="AA33" r:id="rId64" display="#2"/>
    <hyperlink ref="T34" r:id="rId65" location="L61%20https://github.com/spencerwon/navanax1/blob/tester/tools/secrets_check.py%23L1" display="https://github.com/spencerwon/navanax1/blob/tester/.github/workflows/ci.yml#L61 https://github.com/spencerwon/navanax1/blob/tester/tools/secrets_check.py#L1"/>
    <hyperlink ref="AA34" r:id="rId66" display="#2"/>
    <hyperlink ref="T35" r:id="rId67" location="L12" display="https://github.com/spencerwon/navanax1/blob/tester/.github/workflows/ci.yml#L12"/>
    <hyperlink ref="AA35" r:id="rId68" display="#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9"/>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1" t="s">
        <v>453</v>
      </c>
    </row>
    <row r="2" customFormat="false" ht="33.75" hidden="false" customHeight="true" outlineLevel="0" collapsed="false">
      <c r="A2" s="12" t="s">
        <v>454</v>
      </c>
      <c r="B2" s="12"/>
      <c r="C2" s="12"/>
      <c r="D2" s="12"/>
      <c r="E2" s="12"/>
    </row>
    <row r="4" customFormat="false" ht="15" hidden="false" customHeight="false" outlineLevel="0" collapsed="false">
      <c r="A4" s="13" t="s">
        <v>3</v>
      </c>
      <c r="B4" s="13" t="s">
        <v>455</v>
      </c>
      <c r="C4" s="13" t="s">
        <v>5</v>
      </c>
      <c r="D4" s="13" t="s">
        <v>456</v>
      </c>
      <c r="E4" s="13" t="s">
        <v>457</v>
      </c>
    </row>
    <row r="5" customFormat="false" ht="15" hidden="false" customHeight="false" outlineLevel="0" collapsed="false">
      <c r="A5" s="14" t="s">
        <v>458</v>
      </c>
      <c r="B5" s="15" t="s">
        <v>459</v>
      </c>
      <c r="C5" s="15" t="s">
        <v>460</v>
      </c>
      <c r="D5" s="15" t="n">
        <f aca="false">COUNTIFS('Bug log'!$D$2:$D$35,$A5,'Bug log'!$K$2:$K$35,"&lt;&gt;fixed")</f>
        <v>0</v>
      </c>
      <c r="E5" s="15" t="n">
        <f aca="false">COUNTIF('Bug log'!$D$2:$D$35,$A5)</f>
        <v>0</v>
      </c>
    </row>
    <row r="6" customFormat="false" ht="15" hidden="false" customHeight="false" outlineLevel="0" collapsed="false">
      <c r="A6" s="16" t="s">
        <v>461</v>
      </c>
      <c r="B6" s="15" t="s">
        <v>462</v>
      </c>
      <c r="C6" s="15" t="s">
        <v>463</v>
      </c>
      <c r="D6" s="15" t="n">
        <f aca="false">COUNTIFS('Bug log'!$D$2:$D$35,$A6,'Bug log'!$K$2:$K$35,"&lt;&gt;fixed")</f>
        <v>0</v>
      </c>
      <c r="E6" s="15" t="n">
        <f aca="false">COUNTIF('Bug log'!$D$2:$D$35,$A6)</f>
        <v>0</v>
      </c>
    </row>
    <row r="7" customFormat="false" ht="15" hidden="false" customHeight="false" outlineLevel="0" collapsed="false">
      <c r="A7" s="17" t="s">
        <v>30</v>
      </c>
      <c r="B7" s="15" t="s">
        <v>31</v>
      </c>
      <c r="C7" s="15" t="s">
        <v>32</v>
      </c>
      <c r="D7" s="15" t="n">
        <f aca="false">COUNTIFS('Bug log'!$D$2:$D$35,$A7,'Bug log'!$K$2:$K$35,"&lt;&gt;fixed")</f>
        <v>0</v>
      </c>
      <c r="E7" s="15" t="n">
        <f aca="false">COUNTIF('Bug log'!$D$2:$D$35,$A7)</f>
        <v>18</v>
      </c>
    </row>
    <row r="8" customFormat="false" ht="15" hidden="false" customHeight="false" outlineLevel="0" collapsed="false">
      <c r="A8" s="18" t="s">
        <v>136</v>
      </c>
      <c r="B8" s="15" t="s">
        <v>137</v>
      </c>
      <c r="C8" s="15" t="s">
        <v>138</v>
      </c>
      <c r="D8" s="15" t="n">
        <f aca="false">COUNTIFS('Bug log'!$D$2:$D$35,$A8,'Bug log'!$K$2:$K$35,"&lt;&gt;fixed")</f>
        <v>0</v>
      </c>
      <c r="E8" s="15" t="n">
        <f aca="false">COUNTIF('Bug log'!$D$2:$D$35,$A8)</f>
        <v>7</v>
      </c>
    </row>
    <row r="9" customFormat="false" ht="15" hidden="false" customHeight="false" outlineLevel="0" collapsed="false">
      <c r="A9" s="19" t="s">
        <v>56</v>
      </c>
      <c r="B9" s="15" t="s">
        <v>57</v>
      </c>
      <c r="C9" s="15" t="s">
        <v>58</v>
      </c>
      <c r="D9" s="15" t="n">
        <f aca="false">COUNTIFS('Bug log'!$D$2:$D$35,$A9,'Bug log'!$K$2:$K$35,"&lt;&gt;fixed")</f>
        <v>0</v>
      </c>
      <c r="E9" s="15" t="n">
        <f aca="false">COUNTIF('Bug log'!$D$2:$D$35,$A9)</f>
        <v>8</v>
      </c>
    </row>
    <row r="10" customFormat="false" ht="15" hidden="false" customHeight="false" outlineLevel="0" collapsed="false">
      <c r="A10" s="20" t="s">
        <v>91</v>
      </c>
      <c r="B10" s="15" t="s">
        <v>92</v>
      </c>
      <c r="C10" s="15" t="s">
        <v>93</v>
      </c>
      <c r="D10" s="15" t="n">
        <f aca="false">COUNTIFS('Bug log'!$D$2:$D$35,$A10,'Bug log'!$K$2:$K$35,"&lt;&gt;fixed")</f>
        <v>0</v>
      </c>
      <c r="E10" s="15" t="n">
        <f aca="false">COUNTIF('Bug log'!$D$2:$D$35,$A10)</f>
        <v>1</v>
      </c>
    </row>
    <row r="12" customFormat="false" ht="15" hidden="false" customHeight="false" outlineLevel="0" collapsed="false">
      <c r="A12" s="21" t="s">
        <v>6</v>
      </c>
    </row>
    <row r="13" customFormat="false" ht="15" hidden="false" customHeight="false" outlineLevel="0" collapsed="false">
      <c r="A13" s="22" t="s">
        <v>33</v>
      </c>
      <c r="B13" s="15" t="s">
        <v>34</v>
      </c>
    </row>
    <row r="14" customFormat="false" ht="15" hidden="false" customHeight="false" outlineLevel="0" collapsed="false">
      <c r="A14" s="22" t="s">
        <v>94</v>
      </c>
      <c r="B14" s="15" t="s">
        <v>95</v>
      </c>
    </row>
    <row r="15" customFormat="false" ht="15" hidden="false" customHeight="false" outlineLevel="0" collapsed="false">
      <c r="A15" s="22" t="s">
        <v>228</v>
      </c>
      <c r="B15" s="15" t="s">
        <v>229</v>
      </c>
    </row>
    <row r="16" customFormat="false" ht="15" hidden="false" customHeight="false" outlineLevel="0" collapsed="false">
      <c r="A16" s="22" t="s">
        <v>240</v>
      </c>
      <c r="B16" s="15" t="s">
        <v>93</v>
      </c>
    </row>
    <row r="18" customFormat="false" ht="15" hidden="false" customHeight="false" outlineLevel="0" collapsed="false">
      <c r="A18" s="21" t="s">
        <v>464</v>
      </c>
    </row>
    <row r="19" customFormat="false" ht="15" hidden="false" customHeight="false" outlineLevel="0" collapsed="false">
      <c r="A19" s="22" t="s">
        <v>35</v>
      </c>
      <c r="B19" s="15" t="s">
        <v>36</v>
      </c>
    </row>
    <row r="20" customFormat="false" ht="15" hidden="false" customHeight="false" outlineLevel="0" collapsed="false">
      <c r="A20" s="22" t="s">
        <v>59</v>
      </c>
      <c r="B20" s="15" t="s">
        <v>60</v>
      </c>
    </row>
    <row r="21" customFormat="false" ht="15" hidden="false" customHeight="false" outlineLevel="0" collapsed="false">
      <c r="A21" s="22" t="s">
        <v>465</v>
      </c>
      <c r="B21" s="15" t="s">
        <v>466</v>
      </c>
    </row>
    <row r="22" customFormat="false" ht="15" hidden="false" customHeight="false" outlineLevel="0" collapsed="false">
      <c r="A22" s="22" t="s">
        <v>467</v>
      </c>
      <c r="B22" s="15" t="s">
        <v>468</v>
      </c>
    </row>
    <row r="23" customFormat="false" ht="15" hidden="false" customHeight="false" outlineLevel="0" collapsed="false">
      <c r="A23" s="22" t="s">
        <v>193</v>
      </c>
      <c r="B23" s="15" t="s">
        <v>194</v>
      </c>
    </row>
    <row r="24" customFormat="false" ht="15" hidden="false" customHeight="false" outlineLevel="0" collapsed="false">
      <c r="A24" s="22" t="s">
        <v>250</v>
      </c>
      <c r="B24" s="15" t="s">
        <v>251</v>
      </c>
    </row>
    <row r="25" customFormat="false" ht="15" hidden="false" customHeight="false" outlineLevel="0" collapsed="false">
      <c r="A25" s="22" t="s">
        <v>429</v>
      </c>
      <c r="B25" s="15" t="s">
        <v>430</v>
      </c>
    </row>
    <row r="26" customFormat="false" ht="15" hidden="false" customHeight="false" outlineLevel="0" collapsed="false">
      <c r="A26" s="22" t="s">
        <v>263</v>
      </c>
      <c r="B26" s="15" t="s">
        <v>264</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2" t="s">
        <v>469</v>
      </c>
    </row>
    <row r="2" customFormat="false" ht="15" hidden="false" customHeight="false" outlineLevel="0" collapsed="false">
      <c r="A2" s="15"/>
    </row>
    <row r="3" customFormat="false" ht="15" hidden="false" customHeight="false" outlineLevel="0" collapsed="false">
      <c r="A3" s="15" t="s">
        <v>470</v>
      </c>
    </row>
    <row r="4" customFormat="false" ht="15" hidden="false" customHeight="false" outlineLevel="0" collapsed="false">
      <c r="A4" s="15" t="s">
        <v>471</v>
      </c>
    </row>
    <row r="5" customFormat="false" ht="15" hidden="false" customHeight="false" outlineLevel="0" collapsed="false">
      <c r="A5" s="15" t="s">
        <v>472</v>
      </c>
    </row>
    <row r="6" customFormat="false" ht="15" hidden="false" customHeight="false" outlineLevel="0" collapsed="false">
      <c r="A6" s="15" t="s">
        <v>473</v>
      </c>
    </row>
    <row r="7" customFormat="false" ht="15" hidden="false" customHeight="false" outlineLevel="0" collapsed="false">
      <c r="A7" s="15"/>
    </row>
    <row r="8" customFormat="false" ht="15" hidden="false" customHeight="false" outlineLevel="0" collapsed="false">
      <c r="A8" s="15" t="s">
        <v>474</v>
      </c>
    </row>
    <row r="9" customFormat="false" ht="15" hidden="false" customHeight="false" outlineLevel="0" collapsed="false">
      <c r="A9" s="15" t="s">
        <v>475</v>
      </c>
    </row>
    <row r="10" customFormat="false" ht="15" hidden="false" customHeight="false" outlineLevel="0" collapsed="false">
      <c r="A10" s="15"/>
    </row>
    <row r="11" customFormat="false" ht="15" hidden="false" customHeight="false" outlineLevel="0" collapsed="false">
      <c r="A11" s="15" t="s">
        <v>476</v>
      </c>
    </row>
    <row r="12" customFormat="false" ht="15" hidden="false" customHeight="false" outlineLevel="0" collapsed="false">
      <c r="A12" s="15" t="s">
        <v>477</v>
      </c>
    </row>
    <row r="13" customFormat="false" ht="15" hidden="false" customHeight="false" outlineLevel="0" collapsed="false">
      <c r="A13" s="15" t="s">
        <v>478</v>
      </c>
    </row>
    <row r="14" customFormat="false" ht="15" hidden="false" customHeight="false" outlineLevel="0" collapsed="false">
      <c r="A14" s="15" t="s">
        <v>479</v>
      </c>
    </row>
    <row r="15" customFormat="false" ht="15" hidden="false" customHeight="false" outlineLevel="0" collapsed="false">
      <c r="A15" s="15" t="s">
        <v>480</v>
      </c>
    </row>
    <row r="16" customFormat="false" ht="15" hidden="false" customHeight="false" outlineLevel="0" collapsed="false">
      <c r="A16" s="15"/>
    </row>
    <row r="17" customFormat="false" ht="15" hidden="false" customHeight="false" outlineLevel="0" collapsed="false">
      <c r="A17" s="15" t="s">
        <v>481</v>
      </c>
    </row>
    <row r="18" customFormat="false" ht="15" hidden="false" customHeight="false" outlineLevel="0" collapsed="false">
      <c r="A18" s="15" t="s">
        <v>482</v>
      </c>
    </row>
    <row r="19" customFormat="false" ht="15" hidden="false" customHeight="false" outlineLevel="0" collapsed="false">
      <c r="A19" s="15" t="s">
        <v>483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2026-09-09T10:05:01Z</dcterms:created>
  <dc:creator>openpyxl</dc:creator>
  <dc:description/>
  <dc:language>en-US</dc:language>
  <cp:lastModifiedBy/>
  <dcterms:modified xsi:type="dcterms:W3CDTF">2026-09-09T10:05:01Z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