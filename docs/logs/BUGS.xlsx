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<sst xmlns="http://schemas.openxmlformats.org/spreadsheetml/2006/main" count="1112" uniqueCount="534">
  <si>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</si>
  <si>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</si>
  <si>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</si>
  <si>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</si>
  <si>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</si>
  <si>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</si>
  <si>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</si>
  <si>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</si>
  <si>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</si>
  <si>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</si>
  <si>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</si>
  <si>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</si>
  <si>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</si>
  <si>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</si>
  <si>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</si>
  <si>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</si>
  <si>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</si>
  <si>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</si>
  <si>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</si>
  <si>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</si>
  <si>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</si>
  <si>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</si>
  <si>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</si>
  <si>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</si>
  <si>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</si>
  <si>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</si>
  <si>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</si>
  <si>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</si>
  <si>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</si>
  <si>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</si>
  <si>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</si>
  <si>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</si>
  <si>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</si>
  <si>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</si>
  <si>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</si>
  <si>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</si>
  <si>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</si>
  <si>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</si>
  <si>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</si>
  <si>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</si>
  <si>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</si>
  <si>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</si>
  <si>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</si>
  <si>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</si>
  <si>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</si>
  <si>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</si>
  <si>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</si>
  <si>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</si>
  <si>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</si>
  <si>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</si>
  <si>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</si>
  <si>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</si>
  <si>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</si>
  <si>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</si>
  <si>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</si>
  <si>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</si>
  <si>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</si>
  <si>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</si>
  <si>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</si>
  <si>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</si>
  <si>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</si>
  <si>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</si>
  <si>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</si>
  <si>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</si>
  <si>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</si>
  <si>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</si>
  <si>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</si>
  <si>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</si>
  <si>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</si>
  <si>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</si>
  <si>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</si>
  <si>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</si>
  <si>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</si>
  <si>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</si>
  <si>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</si>
  <si>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</si>
  <si>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</si>
  <si>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</si>
  <si>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</si>
  <si>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</si>
  <si>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</si>
  <si>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</si>
  <si>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</si>
  <si>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</si>
  <si>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</si>
  <si>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</si>
  <si>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</si>
  <si>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</si>
  <si>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</si>
  <si>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</si>
  <si>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</si>
  <si>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</si>
  <si>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</si>
  <si>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</si>
  <si>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</si>
  <si>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</si>
  <si>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</si>
  <si>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</si>
  <si>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</si>
  <si>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</si>
  <si>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</si>
  <si>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</si>
  <si>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</si>
  <si>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</si>
  <si>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</si>
  <si>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</si>
  <si>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</si>
  <si>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</si>
  <si>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</si>
  <si>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</si>
  <si>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</si>
  <si>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</si>
  <si>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</si>
  <si>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</si>
  <si>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</si>
  <si>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</si>
  <si>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</si>
  <si>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</si>
  <si>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</si>
  <si>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</si>
  <si>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</si>
  <si>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</si>
  <si>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</si>
  <si>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</si>
  <si>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</si>
  <si>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</si>
  <si>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</si>
  <si>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</si>
  <si>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</si>
  <si>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</si>
  <si>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</si>
  <si>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</si>
  <si>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</si>
  <si>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</si>
  <si>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</si>
  <si>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</si>
  <si>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</si>
  <si>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</si>
  <si>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</si>
  <si>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</si>
  <si>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</si>
  <si>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</si>
  <si>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</si>
  <si>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</si>
  <si>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</si>
  <si>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</si>
  <si>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</si>
  <si>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</si>
  <si>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</si>
  <si>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</si>
  <si>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</si>
  <si>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</si>
  <si>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</si>
  <si>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</si>
  <si>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</si>
  <si>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</si>
  <si>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</si>
  <si>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</si>
  <si>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</si>
  <si>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</si>
  <si>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</si>
  <si>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</si>
  <si>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</si>
  <si>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</si>
  <si>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</si>
  <si>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</si>
  <si>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</si>
  <si>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</si>
  <si>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</si>
  <si>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</si>
  <si>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</si>
  <si>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</si>
  <si>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</si>
  <si>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</si>
  <si>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</si>
  <si>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</si>
  <si>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</si>
  <si>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</si>
  <si>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</si>
  <si>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</si>
  <si>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</si>
  <si>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</si>
  <si>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</si>
  <si>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</si>
  <si>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</si>
  <si>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</si>
  <si>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</si>
  <si>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</si>
  <si>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</si>
  <si>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</si>
  <si>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</si>
  <si>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</si>
  <si>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</si>
  <si>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</si>
  <si>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</si>
  <si>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</si>
  <si>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</si>
  <si>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</si>
  <si>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</si>
  <si>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</si>
  <si>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</si>
  <si>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</si>
  <si>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</si>
  <si>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</si>
  <si>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</si>
  <si>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</si>
  <si>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</si>
  <si>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</si>
  <si>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</si>
  <si>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</si>
  <si>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</si>
  <si>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</si>
  <si>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</si>
  <si>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</si>
  <si>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</si>
  <si>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</si>
  <si>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</si>
  <si>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</si>
  <si>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</si>
  <si>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</si>
  <si>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</si>
  <si>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</si>
  <si>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</si>
  <si>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</si>
  <si>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</si>
  <si>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</si>
  <si>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</si>
  <si>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</si>
  <si>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</si>
  <si>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</si>
  <si>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</si>
  <si>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</si>
  <si>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</si>
  <si>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</si>
  <si>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</si>
  <si>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</si>
  <si>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</si>
  <si>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</si>
  <si>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</si>
  <si>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</si>
  <si>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</si>
  <si>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</si>
  <si>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</si>
  <si>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</si>
  <si>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</si>
  <si>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</si>
  <si>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</si>
  <si>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</si>
  <si>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</si>
  <si>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</si>
  <si>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</si>
  <si>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</si>
  <si>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</si>
  <si>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</si>
  <si>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</si>
  <si>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</si>
  <si>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</si>
  <si>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</si>
  <si>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</si>
  <si>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</si>
  <si>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</si>
  <si>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</si>
  <si>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</si>
  <si>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</si>
  <si>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</si>
  <si>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</si>
  <si>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</si>
  <si>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</si>
  <si>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</si>
  <si>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</si>
  <si>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</si>
  <si>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</si>
  <si>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</si>
  <si>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</si>
  <si>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</si>
  <si>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</si>
  <si>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</si>
  <si>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</si>
  <si>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</si>
  <si>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</si>
  <si>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</si>
  <si>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</si>
  <si>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</si>
  <si>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</si>
  <si>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</si>
  <si>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</si>
  <si>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</si>
  <si>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</si>
  <si>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</si>
  <si>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</si>
  <si>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</si>
  <si>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</si>
  <si>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</si>
  <si>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</si>
  <si>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</si>
  <si>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</si>
  <si>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</si>
  <si>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</si>
  <si>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</si>
  <si>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</si>
  <si>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</si>
  <si>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</si>
  <si>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</si>
  <si>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</si>
  <si>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</si>
  <si>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</si>
  <si>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</si>
  <si>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</si>
  <si>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</si>
  <si>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</si>
  <si>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</si>
  <si>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</si>
  <si>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</si>
  <si>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</si>
  <si>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</si>
  <si>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</si>
  <si>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</si>
  <si>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</si>
  <si>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</si>
  <si>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</si>
  <si>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</si>
  <si>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</si>
  <si>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</si>
  <si>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</si>
  <si>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</si>
  <si>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</si>
  <si>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</si>
  <si>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</si>
  <si>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</si>
  <si>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</si>
  <si>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</si>
  <si>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</si>
  <si>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</si>
  <si>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</si>
  <si>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</si>
  <si>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</si>
  <si>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</si>
  <si>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</si>
  <si>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</si>
  <si>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</si>
  <si>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</si>
  <si>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</si>
  <si>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</si>
  <si>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</si>
  <si>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</si>
  <si>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</si>
  <si>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</si>
  <si>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</si>
  <si>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</si>
  <si>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</si>
  <si>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</si>
  <si>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</si>
  <si>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</si>
  <si>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</si>
  <si>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</si>
  <si>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</si>
  <si>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</si>
  <si>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</si>
  <si>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</si>
  <si>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</si>
  <si>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</si>
  <si>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</si>
  <si>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</si>
  <si>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</si>
  <si>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</si>
  <si>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</si>
  <si>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</si>
  <si>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</si>
  <si>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</si>
  <si>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</si>
  <si>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</si>
  <si>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</si>
  <si>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</si>
  <si>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</si>
  <si>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</si>
  <si>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</si>
  <si>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</si>
  <si>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</si>
  <si>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</si>
  <si>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</si>
  <si>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</si>
  <si>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BUG-20260909-029</t>
  </si>
  <si>
    <t xml:space="preserve">11:40:00</t>
  </si>
  <si>
    <t xml:space="preserve">config/base.yaml said the governor reads x-ratelimit-limit and adapts; nothing read it</t>
  </si>
  <si>
    <t xml:space="preserve">The config comment was written from the design, not from the code.</t>
  </si>
  <si>
    <t xml:space="preserve">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</si>
  <si>
    <t xml:space="preserve">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</si>
  <si>
    <t xml:space="preserve">No test asserted that any header changed capacity. The qa-auditor's numbers check compares values, not claimed mechanisms.</t>
  </si>
  <si>
    <t xml:space="preserve">config/base.yaml:L22  ·  src/navanax/governor.py:L169</t>
  </si>
  <si>
    <t xml:space="preserve">https://github.com/spencerwon/navanax1/blob/tester/config/base.yaml#L22 https://github.com/spencerwon/navanax1/blob/tester/src/navanax/governor.py#L169</t>
  </si>
  <si>
    <t xml:space="preserve">tests/selftest.py::test_governor_adapts_capacity_from_server</t>
  </si>
  <si>
    <t xml:space="preserve">tech-lead agent (opus), third gate review</t>
  </si>
  <si>
    <t xml:space="preserve">2026-09-09T11:40:00-05:00</t>
  </si>
  <si>
    <t xml:space="preserve">2026-09-09T12:00:00-05:00</t>
  </si>
  <si>
    <t xml:space="preserve">BUG-20260909-030</t>
  </si>
  <si>
    <t xml:space="preserve">BUG-012's fix discarded a truthful "remaining 0" reported on a successful response</t>
  </si>
  <si>
    <t xml:space="preserve">One field carried two meanings -- a ceiling WE imposed after a 429, and one the SERVER reported -- and the fix lifted both. The first attempt at fixing this made the block expiry do the same thing, which the pre-existing test caught.</t>
  </si>
  <si>
    <t xml:space="preserve">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</si>
  <si>
    <t xml:space="preserve">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</si>
  <si>
    <t xml:space="preserve">BUG-012's test asserted recovery and never asserted that the server's own 'no' was still honoured.</t>
  </si>
  <si>
    <t xml:space="preserve">src/navanax/governor.py:L217  ·  src/navanax/governor.py:L360</t>
  </si>
  <si>
    <t xml:space="preserve">https://github.com/spencerwon/navanax1/blob/tester/src/navanax/governor.py#L217 https://github.com/spencerwon/navanax1/blob/tester/src/navanax/governor.py#L360</t>
  </si>
  <si>
    <t xml:space="preserve">tests/selftest.py::test_truthful_zero_remaining_is_not_discarded</t>
  </si>
  <si>
    <t xml:space="preserve">tech-lead agent (opus), third gate review; the pre-existing 'server header caps local optimism' assertion caught the first attempt at the fix</t>
  </si>
  <si>
    <t xml:space="preserve">BUG-20260909-031</t>
  </si>
  <si>
    <t xml:space="preserve">BUG-013 redefined backfillable and made the backfill worklist permanently empty</t>
  </si>
  <si>
    <t xml:space="preserve">A field's meaning changed and one of its readers was not revisited.</t>
  </si>
  <si>
    <t xml:space="preserve">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</si>
  <si>
    <t xml:space="preserve">The gap register now carries backfillable_classes and irrecoverable_classes (with an in-place migration for existing stores). unbackfilled_gaps() returns closed, un-backfilled gaps with at least one recoverable class -- the question a backfiller actually asks.</t>
  </si>
  <si>
    <t xml:space="preserve">No test asserted what `navanax status` shows after a real reconnect gap.</t>
  </si>
  <si>
    <t xml:space="preserve">src/navanax/opstore.py:L208  ·  src/navanax/cli.py:L194</t>
  </si>
  <si>
    <t xml:space="preserve">https://github.com/spencerwon/navanax1/blob/tester/src/navanax/opstore.py#L208 https://github.com/spencerwon/navanax1/blob/tester/src/navanax/cli.py#L194</t>
  </si>
  <si>
    <t xml:space="preserve">tests/selftest.py::test_backfill_worklist_is_not_vacuous</t>
  </si>
  <si>
    <t xml:space="preserve">BUG-20260909-032</t>
  </si>
  <si>
    <t xml:space="preserve">12:10:00</t>
  </si>
  <si>
    <t xml:space="preserve">First real-zstandard CI run turned the codec gate red -- the gate's "last frame" heuristic assumed gzip's writer behaviour, and the frame walk still guessed boundaries by magic scanning</t>
  </si>
  <si>
    <t xml:space="preserve">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</si>
  <si>
    <t xml:space="preserve">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</si>
  <si>
    <t xml:space="preserve">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</si>
  <si>
    <t xml:space="preserve">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</si>
  <si>
    <t xml:space="preserve">src/navanax/codec.py:L150  ·  src/navanax/codec.py:L168  ·  src/navanax/codec.py:L300</t>
  </si>
  <si>
    <t xml:space="preserve">https://github.com/spencerwon/navanax1/blob/tester/src/navanax/codec.py#L150 https://github.com/spencerwon/navanax1/blob/tester/src/navanax/codec.py#L168 https://github.com/spencerwon/navanax1/blob/tester/src/navanax/codec.py#L300</t>
  </si>
  <si>
    <t xml:space="preserve">tests/selftest.py::test_startup_gate_refuses_a_lying_codec</t>
  </si>
  <si>
    <t xml:space="preserve">GitHub Actions CI on the tester branch -- the first time the production codec was ever executed by anything</t>
  </si>
  <si>
    <t xml:space="preserve">2026-09-09T12:10:00-05:00</t>
  </si>
  <si>
    <t xml:space="preserve">2026-09-09T12:40:00-05:00</t>
  </si>
  <si>
    <t xml:space="preserve">#2</t>
  </si>
  <si>
    <t xml:space="preserve">BUG-20260909-033</t>
  </si>
  <si>
    <t xml:space="preserve">13:05:00</t>
  </si>
  <si>
    <t xml:space="preserve">SEC</t>
  </si>
  <si>
    <t xml:space="preserve">Security</t>
  </si>
  <si>
    <t xml:space="preserve">The REQ-N-11 credential gate fired on a 14-character test placeholder the first time it ever ran</t>
  </si>
  <si>
    <t xml:space="preserve">A one-line grep matching NAME=&lt;any alphanumeric&gt;. It could not distinguish a placeholder from a key because it never asked what a key looks like. Written in the same sitting as the rest of ci.yml and, like the pytest step (BUG-019), never run end to end until CI could reach it.</t>
  </si>
  <si>
    <t xml:space="preserve">None. But the failure mode is the dangerous kind for a security gate: a check that cries wolf on `OPENSEA_API_KEY=fake_key_value` teaches everyone to click past it, and the day it fires on a real 32-character key nobody looks. A gate with no precision has no authority.</t>
  </si>
  <si>
    <t xml:space="preserve">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</si>
  <si>
    <t xml:space="preserve">A CI step that had never executed. Same shape as BUG-019: the pipeline was written, not run.</t>
  </si>
  <si>
    <t xml:space="preserve">REQ-N-11</t>
  </si>
  <si>
    <t xml:space="preserve">.github/workflows/ci.yml:L61  ·  tools/secrets_check.py:L1</t>
  </si>
  <si>
    <t xml:space="preserve">https://github.com/spencerwon/navanax1/blob/tester/.github/workflows/ci.yml#L61 https://github.com/spencerwon/navanax1/blob/tester/tools/secrets_check.py#L1</t>
  </si>
  <si>
    <t xml:space="preserve">tests/selftest.py::test_secrets_gate_knows_what_a_key_looks_like</t>
  </si>
  <si>
    <t xml:space="preserve">GitHub Actions CI on PR #2 -- the step had never executed before; every earlier run died upstream of it</t>
  </si>
  <si>
    <t xml:space="preserve">2026-09-09T13:05:00-05:00</t>
  </si>
  <si>
    <t xml:space="preserve">2026-09-09T13:30:00-05:00</t>
  </si>
  <si>
    <t xml:space="preserve">BUG-20260909-034</t>
  </si>
  <si>
    <t xml:space="preserve">CI actions target Node 20, which GitHub removes from runners on 2026-09-23 -- two weeks out</t>
  </si>
  <si>
    <t xml:space="preserve">Pinned to the major versions that were current when the workflow was written; the runtime they depend on has a published end date.</t>
  </si>
  <si>
    <t xml:space="preserve">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</si>
  <si>
    <t xml:space="preserve">actions/checkout@v5 and actions/setup-python@v6, both Node 24. Dated in the workflow comment so the next person knows why.</t>
  </si>
  <si>
    <t xml:space="preserve">Nothing in the project tracks external end-of-life dates. The research agent's charter covers the OpenSea API contract; it should cover the CI runtime too.</t>
  </si>
  <si>
    <t xml:space="preserve">.github/workflows/ci.yml:L12</t>
  </si>
  <si>
    <t xml:space="preserve">https://github.com/spencerwon/navanax1/blob/tester/.github/workflows/ci.yml#L12</t>
  </si>
  <si>
    <t xml:space="preserve">CI itself -- the deprecation annotation disappears</t>
  </si>
  <si>
    <t xml:space="preserve">GitHub Actions deprecation warning on PR #2, and GitHub's Actions runners notice (Node20 removal date updated 2026-08-25 to 2026-09-23)</t>
  </si>
  <si>
    <t xml:space="preserve">BUG-20260909-035</t>
  </si>
  <si>
    <t xml:space="preserve">10:20:00</t>
  </si>
  <si>
    <t xml:space="preserve">First live run failed CERTIFICATE_VERIFY_FAILED seven times -- python.org macOS Python ships no root certificates, and the consumer blamed the stream</t>
  </si>
  <si>
    <t xml:space="preserve">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</si>
  <si>
    <t xml:space="preserve">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</si>
  <si>
    <t xml:space="preserve">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</si>
  <si>
    <t xml:space="preserve">The live smoke test ran under one Python; the operator's launcher ran under another. No test, and no launcher, checked that the interpreter it found could verify a certificate before pointing it at the internet.</t>
  </si>
  <si>
    <t xml:space="preserve">src/navanax/tls.py:L1  ·  src/navanax/stream.py:L755  ·  tools/preflight.py:L52</t>
  </si>
  <si>
    <t xml:space="preserve">https://github.com/spencerwon/navanax1/blob/tester/src/navanax/tls.py#L1 https://github.com/spencerwon/navanax1/blob/tester/src/navanax/stream.py#L755 https://github.com/spencerwon/navanax1/blob/tester/tools/preflight.py#L52</t>
  </si>
  <si>
    <t xml:space="preserve">tests/selftest.py::test_cert_failure_names_the_fix_once</t>
  </si>
  <si>
    <t xml:space="preserve">Spencer, first double-click of start.command</t>
  </si>
  <si>
    <t xml:space="preserve">2026-09-09T10:16:49-05:00</t>
  </si>
  <si>
    <t xml:space="preserve">2026-09-09T10:20:00-05:00</t>
  </si>
  <si>
    <t xml:space="preserve">#3</t>
  </si>
  <si>
    <t xml:space="preserve">BUG-20260909-036</t>
  </si>
  <si>
    <t xml:space="preserve">10:35:00</t>
  </si>
  <si>
    <t xml:space="preserve">Storage sizing assumed 2,000 events/day for Argonauts; measured steady-state rate is ~48/second -- off by three orders of magnitude</t>
  </si>
  <si>
    <t xml:space="preserve">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</si>
  <si>
    <t xml:space="preserve">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</si>
  <si>
    <t xml:space="preserve">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</si>
  <si>
    <t xml:space="preserve">The table itself said "replace with measurements in the first week". No mechanism made that happen; the qa-auditor charter now covers numbers with provenance ASSUMED that are older than the first live data. A 24-hour per-collection rate measurement is the first Phase 1 task.</t>
  </si>
  <si>
    <t xml:space="preserve">docs/07_STORAGE_AND_RECORDING.md:L108</t>
  </si>
  <si>
    <t xml:space="preserve">https://github.com/spencerwon/navanax1/blob/tester/docs/07_STORAGE_AND_RECORDING.md#L108</t>
  </si>
  <si>
    <t xml:space="preserve">orchestrator, reading the first two minutes of live landing-zone data (7,240 events in 152 s)</t>
  </si>
  <si>
    <t xml:space="preserve">2026-09-09T10:35:00-05:00</t>
  </si>
  <si>
    <t xml:space="preserve">2026-09-09T11:00:00-05:00</t>
  </si>
  <si>
    <t xml:space="preserve">BUG-20260909-037</t>
  </si>
  <si>
    <t xml:space="preserve">Closing the Terminal window killed ingestion without a clean stop -- last frame lost, no checkpoint, file left open</t>
  </si>
  <si>
    <t xml:space="preserve">Ctrl-C (KeyboardInterrupt) was handled; SIGHUP from a closing Terminal window and SIGTERM from kill/launchd were not, so no finally ran.</t>
  </si>
  <si>
    <t xml:space="preserve">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</si>
  <si>
    <t xml:space="preserve">_install_shutdown_handlers registers SIGTERM and SIGHUP on the event loop to stop the consumer and cancel the run task, so the same finally that Ctrl-C reaches runs for a window close too.</t>
  </si>
  <si>
    <t xml:space="preserve">No test sent the process a signal. The only stop path exercised was Ctrl-C.</t>
  </si>
  <si>
    <t xml:space="preserve">src/navanax/cli.py:L118</t>
  </si>
  <si>
    <t xml:space="preserve">https://github.com/spencerwon/navanax1/blob/tester/src/navanax/cli.py#L118</t>
  </si>
  <si>
    <t xml:space="preserve">tests/selftest.py::test_window_close_is_a_clean_stop</t>
  </si>
  <si>
    <t xml:space="preserve">orchestrator, from the first run's manifest: file status open, gap register checkpoint 10 s before the next run</t>
  </si>
  <si>
    <t xml:space="preserve">2026-09-09T10:20:40-05:00</t>
  </si>
  <si>
    <t xml:space="preserve">BUG-20260909-038</t>
  </si>
  <si>
    <t xml:space="preserve">10:50:00</t>
  </si>
  <si>
    <t xml:space="preserve">The self-test ran from a hand-maintained list; three tests in one day were written, reviewed, and never executed -- including the codec gate's own self-test</t>
  </si>
  <si>
    <t xml:space="preserve">main() ran tests from an explicit tuple of names. Registering a test was a second step, done by string replacement against a line that other edits kept changing, so the replacement silently matched nothing. Three times.</t>
  </si>
  <si>
    <t xml:space="preserve">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</si>
  <si>
    <t xml:space="preserve">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</si>
  <si>
    <t xml:space="preserve">buglog.py --check verifies a named test exists; it cannot verify it ran. The closest honest check is the function count in the summary line, and CI could assert it never decreases. Left as a Phase 1 improvement.</t>
  </si>
  <si>
    <t xml:space="preserve">tests/selftest.py:L1660</t>
  </si>
  <si>
    <t xml:space="preserve">https://github.com/spencerwon/navanax1/blob/tester/tests/selftest.py#L1660</t>
  </si>
  <si>
    <t xml:space="preserve">tests/selftest.py itself -- the summary line reports 41 functions and every one of them runs</t>
  </si>
  <si>
    <t xml:space="preserve">orchestrator, noticing the pass count did not rise after adding a test -- for the third time</t>
  </si>
  <si>
    <t xml:space="preserve">2026-09-09T05:00:00-05:00</t>
  </si>
  <si>
    <t xml:space="preserve">2026-09-09T10:50:00-05:00</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</si>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</sst>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39" headerRowCount="1" totalsRowCount="0" totalsRowShown="0">
  <autoFilter ref="A1:AA3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hyperlink" Target="https://github.com/spencerwon/navanax1/blob/tester/config/base.yaml" TargetMode="External"/><Relationship Id="rId58" Type="http://schemas.openxmlformats.org/officeDocument/2006/relationships/hyperlink" Target="https://github.com/spencerwon/navanax1/pull/1" TargetMode="External"/><Relationship Id="rId59" Type="http://schemas.openxmlformats.org/officeDocument/2006/relationships/hyperlink" Target="https://github.com/spencerwon/navanax1/blob/tester/src/navanax/governor.py" TargetMode="External"/><Relationship Id="rId60" Type="http://schemas.openxmlformats.org/officeDocument/2006/relationships/hyperlink" Target="https://github.com/spencerwon/navanax1/pull/1" TargetMode="External"/><Relationship Id="rId61" Type="http://schemas.openxmlformats.org/officeDocument/2006/relationships/hyperlink" Target="https://github.com/spencerwon/navanax1/blob/tester/src/navanax/opstore.py" TargetMode="External"/><Relationship Id="rId62" Type="http://schemas.openxmlformats.org/officeDocument/2006/relationships/hyperlink" Target="https://github.com/spencerwon/navanax1/pull/1" TargetMode="External"/><Relationship Id="rId63" Type="http://schemas.openxmlformats.org/officeDocument/2006/relationships/hyperlink" Target="https://github.com/spencerwon/navanax1/blob/tester/src/navanax/codec.py" TargetMode="External"/><Relationship Id="rId64" Type="http://schemas.openxmlformats.org/officeDocument/2006/relationships/hyperlink" Target="https://github.com/spencerwon/navanax1/pull/2" TargetMode="External"/><Relationship Id="rId65" Type="http://schemas.openxmlformats.org/officeDocument/2006/relationships/hyperlink" Target="https://github.com/spencerwon/navanax1/blob/tester/.github/workflows/ci.yml" TargetMode="External"/><Relationship Id="rId66" Type="http://schemas.openxmlformats.org/officeDocument/2006/relationships/hyperlink" Target="https://github.com/spencerwon/navanax1/pull/2" TargetMode="External"/><Relationship Id="rId67" Type="http://schemas.openxmlformats.org/officeDocument/2006/relationships/hyperlink" Target="https://github.com/spencerwon/navanax1/blob/tester/.github/workflows/ci.yml" TargetMode="External"/><Relationship Id="rId68" Type="http://schemas.openxmlformats.org/officeDocument/2006/relationships/hyperlink" Target="https://github.com/spencerwon/navanax1/pull/2" TargetMode="External"/><Relationship Id="rId69" Type="http://schemas.openxmlformats.org/officeDocument/2006/relationships/hyperlink" Target="https://github.com/spencerwon/navanax1/blob/tester/src/navanax/tls.py" TargetMode="External"/><Relationship Id="rId70" Type="http://schemas.openxmlformats.org/officeDocument/2006/relationships/hyperlink" Target="https://github.com/spencerwon/navanax1/pull/3" TargetMode="External"/><Relationship Id="rId71" Type="http://schemas.openxmlformats.org/officeDocument/2006/relationships/hyperlink" Target="https://github.com/spencerwon/navanax1/blob/tester/docs/07_STORAGE_AND_RECORDING.md" TargetMode="External"/><Relationship Id="rId72" Type="http://schemas.openxmlformats.org/officeDocument/2006/relationships/hyperlink" Target="https://github.com/spencerwon/navanax1/pull/3" TargetMode="External"/><Relationship Id="rId73" Type="http://schemas.openxmlformats.org/officeDocument/2006/relationships/hyperlink" Target="https://github.com/spencerwon/navanax1/blob/tester/src/navanax/cli.py" TargetMode="External"/><Relationship Id="rId74" Type="http://schemas.openxmlformats.org/officeDocument/2006/relationships/hyperlink" Target="https://github.com/spencerwon/navanax1/pull/3" TargetMode="External"/><Relationship Id="rId75" Type="http://schemas.openxmlformats.org/officeDocument/2006/relationships/hyperlink" Target="https://github.com/spencerwon/navanax1/blob/tester/tests/selftest.py" TargetMode="External"/><Relationship Id="rId76" Type="http://schemas.openxmlformats.org/officeDocument/2006/relationships/hyperlink" Target="https://github.com/spencerwon/navanax1/pull/3" TargetMode="External"/><Relationship Id="rId7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10" t="s">
        <v>136</v>
      </c>
      <c r="E19" s="3" t="s">
        <v>137</v>
      </c>
      <c r="F19" s="3" t="s">
        <v>138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row r="30" customFormat="false" ht="120" hidden="false" customHeight="true" outlineLevel="0" collapsed="false">
      <c r="A30" s="2" t="s">
        <v>381</v>
      </c>
      <c r="B30" s="3" t="s">
        <v>28</v>
      </c>
      <c r="C30" s="3" t="s">
        <v>382</v>
      </c>
      <c r="D30" s="10" t="s">
        <v>136</v>
      </c>
      <c r="E30" s="3" t="s">
        <v>137</v>
      </c>
      <c r="F30" s="3" t="s">
        <v>138</v>
      </c>
      <c r="G30" s="3" t="s">
        <v>33</v>
      </c>
      <c r="H30" s="3" t="s">
        <v>34</v>
      </c>
      <c r="I30" s="3" t="s">
        <v>193</v>
      </c>
      <c r="J30" s="3" t="s">
        <v>194</v>
      </c>
      <c r="K30" s="5" t="s">
        <v>37</v>
      </c>
      <c r="L30" s="3" t="s">
        <v>383</v>
      </c>
      <c r="M30" s="3" t="s">
        <v>384</v>
      </c>
      <c r="N30" s="3" t="s">
        <v>385</v>
      </c>
      <c r="O30" s="3" t="s">
        <v>386</v>
      </c>
      <c r="P30" s="3" t="s">
        <v>387</v>
      </c>
      <c r="Q30" s="6" t="s">
        <v>81</v>
      </c>
      <c r="R30" s="3" t="s">
        <v>374</v>
      </c>
      <c r="S30" s="6" t="s">
        <v>388</v>
      </c>
      <c r="T30" s="7" t="s">
        <v>389</v>
      </c>
      <c r="U30" s="6" t="s">
        <v>390</v>
      </c>
      <c r="V30" s="3" t="s">
        <v>391</v>
      </c>
      <c r="W30" s="3" t="s">
        <v>328</v>
      </c>
      <c r="X30" s="3" t="s">
        <v>88</v>
      </c>
      <c r="Y30" s="3" t="s">
        <v>392</v>
      </c>
      <c r="Z30" s="3" t="s">
        <v>393</v>
      </c>
      <c r="AA30" s="7" t="s">
        <v>53</v>
      </c>
    </row>
    <row r="31" customFormat="false" ht="120" hidden="false" customHeight="true" outlineLevel="0" collapsed="false">
      <c r="A31" s="2" t="s">
        <v>394</v>
      </c>
      <c r="B31" s="3" t="s">
        <v>28</v>
      </c>
      <c r="C31" s="3" t="s">
        <v>382</v>
      </c>
      <c r="D31" s="10" t="s">
        <v>136</v>
      </c>
      <c r="E31" s="3" t="s">
        <v>137</v>
      </c>
      <c r="F31" s="3" t="s">
        <v>138</v>
      </c>
      <c r="G31" s="3" t="s">
        <v>33</v>
      </c>
      <c r="H31" s="3" t="s">
        <v>34</v>
      </c>
      <c r="I31" s="3" t="s">
        <v>193</v>
      </c>
      <c r="J31" s="3" t="s">
        <v>194</v>
      </c>
      <c r="K31" s="5" t="s">
        <v>37</v>
      </c>
      <c r="L31" s="3" t="s">
        <v>395</v>
      </c>
      <c r="M31" s="3" t="s">
        <v>396</v>
      </c>
      <c r="N31" s="3" t="s">
        <v>397</v>
      </c>
      <c r="O31" s="3" t="s">
        <v>398</v>
      </c>
      <c r="P31" s="3" t="s">
        <v>399</v>
      </c>
      <c r="Q31" s="6" t="s">
        <v>81</v>
      </c>
      <c r="R31" s="3" t="s">
        <v>374</v>
      </c>
      <c r="S31" s="6" t="s">
        <v>400</v>
      </c>
      <c r="T31" s="7" t="s">
        <v>401</v>
      </c>
      <c r="U31" s="6" t="s">
        <v>402</v>
      </c>
      <c r="V31" s="3" t="s">
        <v>403</v>
      </c>
      <c r="W31" s="3" t="s">
        <v>328</v>
      </c>
      <c r="X31" s="3" t="s">
        <v>204</v>
      </c>
      <c r="Y31" s="3" t="s">
        <v>392</v>
      </c>
      <c r="Z31" s="3" t="s">
        <v>393</v>
      </c>
      <c r="AA31" s="7" t="s">
        <v>53</v>
      </c>
    </row>
    <row r="32" customFormat="false" ht="120" hidden="false" customHeight="true" outlineLevel="0" collapsed="false">
      <c r="A32" s="2" t="s">
        <v>404</v>
      </c>
      <c r="B32" s="3" t="s">
        <v>28</v>
      </c>
      <c r="C32" s="3" t="s">
        <v>382</v>
      </c>
      <c r="D32" s="10" t="s">
        <v>136</v>
      </c>
      <c r="E32" s="3" t="s">
        <v>137</v>
      </c>
      <c r="F32" s="3" t="s">
        <v>138</v>
      </c>
      <c r="G32" s="3" t="s">
        <v>33</v>
      </c>
      <c r="H32" s="3" t="s">
        <v>34</v>
      </c>
      <c r="I32" s="3" t="s">
        <v>59</v>
      </c>
      <c r="J32" s="3" t="s">
        <v>60</v>
      </c>
      <c r="K32" s="5" t="s">
        <v>37</v>
      </c>
      <c r="L32" s="3" t="s">
        <v>405</v>
      </c>
      <c r="M32" s="3" t="s">
        <v>406</v>
      </c>
      <c r="N32" s="3" t="s">
        <v>407</v>
      </c>
      <c r="O32" s="3" t="s">
        <v>408</v>
      </c>
      <c r="P32" s="3" t="s">
        <v>409</v>
      </c>
      <c r="Q32" s="6" t="s">
        <v>211</v>
      </c>
      <c r="R32" s="3" t="s">
        <v>374</v>
      </c>
      <c r="S32" s="6" t="s">
        <v>410</v>
      </c>
      <c r="T32" s="7" t="s">
        <v>411</v>
      </c>
      <c r="U32" s="6" t="s">
        <v>412</v>
      </c>
      <c r="V32" s="3" t="s">
        <v>391</v>
      </c>
      <c r="W32" s="3" t="s">
        <v>328</v>
      </c>
      <c r="X32" s="3" t="s">
        <v>204</v>
      </c>
      <c r="Y32" s="3" t="s">
        <v>392</v>
      </c>
      <c r="Z32" s="3" t="s">
        <v>393</v>
      </c>
      <c r="AA32" s="7" t="s">
        <v>53</v>
      </c>
    </row>
    <row r="33" customFormat="false" ht="120" hidden="false" customHeight="true" outlineLevel="0" collapsed="false">
      <c r="A33" s="2" t="s">
        <v>413</v>
      </c>
      <c r="B33" s="3" t="s">
        <v>28</v>
      </c>
      <c r="C33" s="3" t="s">
        <v>414</v>
      </c>
      <c r="D33" s="4" t="s">
        <v>30</v>
      </c>
      <c r="E33" s="3" t="s">
        <v>31</v>
      </c>
      <c r="F33" s="3" t="s">
        <v>32</v>
      </c>
      <c r="G33" s="3" t="s">
        <v>33</v>
      </c>
      <c r="H33" s="3" t="s">
        <v>34</v>
      </c>
      <c r="I33" s="3" t="s">
        <v>59</v>
      </c>
      <c r="J33" s="3" t="s">
        <v>60</v>
      </c>
      <c r="K33" s="5" t="s">
        <v>37</v>
      </c>
      <c r="L33" s="3" t="s">
        <v>415</v>
      </c>
      <c r="M33" s="3" t="s">
        <v>416</v>
      </c>
      <c r="N33" s="3" t="s">
        <v>417</v>
      </c>
      <c r="O33" s="3" t="s">
        <v>418</v>
      </c>
      <c r="P33" s="3" t="s">
        <v>419</v>
      </c>
      <c r="Q33" s="6" t="s">
        <v>130</v>
      </c>
      <c r="R33" s="3" t="s">
        <v>374</v>
      </c>
      <c r="S33" s="6" t="s">
        <v>420</v>
      </c>
      <c r="T33" s="7" t="s">
        <v>421</v>
      </c>
      <c r="U33" s="6" t="s">
        <v>422</v>
      </c>
      <c r="V33" s="3" t="s">
        <v>423</v>
      </c>
      <c r="W33" s="3" t="s">
        <v>106</v>
      </c>
      <c r="X33" s="3" t="s">
        <v>123</v>
      </c>
      <c r="Y33" s="3" t="s">
        <v>424</v>
      </c>
      <c r="Z33" s="3" t="s">
        <v>425</v>
      </c>
      <c r="AA33" s="7" t="s">
        <v>426</v>
      </c>
    </row>
    <row r="34" customFormat="false" ht="120" hidden="false" customHeight="true" outlineLevel="0" collapsed="false">
      <c r="A34" s="2" t="s">
        <v>427</v>
      </c>
      <c r="B34" s="3" t="s">
        <v>28</v>
      </c>
      <c r="C34" s="3" t="s">
        <v>428</v>
      </c>
      <c r="D34" s="8" t="s">
        <v>56</v>
      </c>
      <c r="E34" s="3" t="s">
        <v>57</v>
      </c>
      <c r="F34" s="3" t="s">
        <v>58</v>
      </c>
      <c r="G34" s="3" t="s">
        <v>33</v>
      </c>
      <c r="H34" s="3" t="s">
        <v>34</v>
      </c>
      <c r="I34" s="3" t="s">
        <v>429</v>
      </c>
      <c r="J34" s="3" t="s">
        <v>430</v>
      </c>
      <c r="K34" s="5" t="s">
        <v>37</v>
      </c>
      <c r="L34" s="3" t="s">
        <v>431</v>
      </c>
      <c r="M34" s="3" t="s">
        <v>432</v>
      </c>
      <c r="N34" s="3" t="s">
        <v>433</v>
      </c>
      <c r="O34" s="3" t="s">
        <v>434</v>
      </c>
      <c r="P34" s="3" t="s">
        <v>435</v>
      </c>
      <c r="Q34" s="6" t="s">
        <v>436</v>
      </c>
      <c r="R34" s="3" t="s">
        <v>374</v>
      </c>
      <c r="S34" s="6" t="s">
        <v>437</v>
      </c>
      <c r="T34" s="7" t="s">
        <v>438</v>
      </c>
      <c r="U34" s="6" t="s">
        <v>439</v>
      </c>
      <c r="V34" s="3" t="s">
        <v>440</v>
      </c>
      <c r="W34" s="3" t="s">
        <v>106</v>
      </c>
      <c r="X34" s="3" t="s">
        <v>107</v>
      </c>
      <c r="Y34" s="3" t="s">
        <v>441</v>
      </c>
      <c r="Z34" s="3" t="s">
        <v>442</v>
      </c>
      <c r="AA34" s="7" t="s">
        <v>426</v>
      </c>
    </row>
    <row r="35" customFormat="false" ht="120" hidden="false" customHeight="true" outlineLevel="0" collapsed="false">
      <c r="A35" s="2" t="s">
        <v>443</v>
      </c>
      <c r="B35" s="3" t="s">
        <v>28</v>
      </c>
      <c r="C35" s="3" t="s">
        <v>428</v>
      </c>
      <c r="D35" s="8" t="s">
        <v>56</v>
      </c>
      <c r="E35" s="3" t="s">
        <v>57</v>
      </c>
      <c r="F35" s="3" t="s">
        <v>58</v>
      </c>
      <c r="G35" s="3" t="s">
        <v>94</v>
      </c>
      <c r="H35" s="3" t="s">
        <v>95</v>
      </c>
      <c r="I35" s="3" t="s">
        <v>263</v>
      </c>
      <c r="J35" s="3" t="s">
        <v>264</v>
      </c>
      <c r="K35" s="5" t="s">
        <v>37</v>
      </c>
      <c r="L35" s="3" t="s">
        <v>444</v>
      </c>
      <c r="M35" s="3" t="s">
        <v>445</v>
      </c>
      <c r="N35" s="3" t="s">
        <v>446</v>
      </c>
      <c r="O35" s="3" t="s">
        <v>447</v>
      </c>
      <c r="P35" s="3" t="s">
        <v>448</v>
      </c>
      <c r="Q35" s="6" t="s">
        <v>101</v>
      </c>
      <c r="R35" s="3" t="s">
        <v>374</v>
      </c>
      <c r="S35" s="6" t="s">
        <v>449</v>
      </c>
      <c r="T35" s="7" t="s">
        <v>450</v>
      </c>
      <c r="U35" s="6" t="s">
        <v>451</v>
      </c>
      <c r="V35" s="3" t="s">
        <v>452</v>
      </c>
      <c r="W35" s="3" t="s">
        <v>106</v>
      </c>
      <c r="X35" s="3" t="s">
        <v>107</v>
      </c>
      <c r="Y35" s="3" t="s">
        <v>441</v>
      </c>
      <c r="Z35" s="3" t="s">
        <v>442</v>
      </c>
      <c r="AA35" s="7" t="s">
        <v>426</v>
      </c>
    </row>
    <row r="36" customFormat="false" ht="120" hidden="false" customHeight="true" outlineLevel="0" collapsed="false">
      <c r="A36" s="2" t="s">
        <v>453</v>
      </c>
      <c r="B36" s="3" t="s">
        <v>28</v>
      </c>
      <c r="C36" s="3" t="s">
        <v>454</v>
      </c>
      <c r="D36" s="8" t="s">
        <v>56</v>
      </c>
      <c r="E36" s="3" t="s">
        <v>57</v>
      </c>
      <c r="F36" s="3" t="s">
        <v>58</v>
      </c>
      <c r="G36" s="3" t="s">
        <v>33</v>
      </c>
      <c r="H36" s="3" t="s">
        <v>34</v>
      </c>
      <c r="I36" s="3" t="s">
        <v>35</v>
      </c>
      <c r="J36" s="3" t="s">
        <v>36</v>
      </c>
      <c r="K36" s="5" t="s">
        <v>37</v>
      </c>
      <c r="L36" s="3" t="s">
        <v>455</v>
      </c>
      <c r="M36" s="3" t="s">
        <v>456</v>
      </c>
      <c r="N36" s="3" t="s">
        <v>457</v>
      </c>
      <c r="O36" s="3" t="s">
        <v>458</v>
      </c>
      <c r="P36" s="3" t="s">
        <v>459</v>
      </c>
      <c r="Q36" s="6" t="s">
        <v>43</v>
      </c>
      <c r="R36" s="3" t="s">
        <v>374</v>
      </c>
      <c r="S36" s="6" t="s">
        <v>460</v>
      </c>
      <c r="T36" s="7" t="s">
        <v>461</v>
      </c>
      <c r="U36" s="6" t="s">
        <v>462</v>
      </c>
      <c r="V36" s="3" t="s">
        <v>463</v>
      </c>
      <c r="W36" s="3" t="s">
        <v>49</v>
      </c>
      <c r="X36" s="3" t="s">
        <v>464</v>
      </c>
      <c r="Y36" s="3" t="s">
        <v>465</v>
      </c>
      <c r="Z36" s="3" t="s">
        <v>380</v>
      </c>
      <c r="AA36" s="7" t="s">
        <v>466</v>
      </c>
    </row>
    <row r="37" customFormat="false" ht="120" hidden="false" customHeight="true" outlineLevel="0" collapsed="false">
      <c r="A37" s="2" t="s">
        <v>467</v>
      </c>
      <c r="B37" s="3" t="s">
        <v>28</v>
      </c>
      <c r="C37" s="3" t="s">
        <v>468</v>
      </c>
      <c r="D37" s="4" t="s">
        <v>30</v>
      </c>
      <c r="E37" s="3" t="s">
        <v>31</v>
      </c>
      <c r="F37" s="3" t="s">
        <v>32</v>
      </c>
      <c r="G37" s="3" t="s">
        <v>33</v>
      </c>
      <c r="H37" s="3" t="s">
        <v>34</v>
      </c>
      <c r="I37" s="3" t="s">
        <v>35</v>
      </c>
      <c r="J37" s="3" t="s">
        <v>36</v>
      </c>
      <c r="K37" s="5" t="s">
        <v>37</v>
      </c>
      <c r="L37" s="3" t="s">
        <v>469</v>
      </c>
      <c r="M37" s="3" t="s">
        <v>470</v>
      </c>
      <c r="N37" s="3" t="s">
        <v>471</v>
      </c>
      <c r="O37" s="3" t="s">
        <v>472</v>
      </c>
      <c r="P37" s="3" t="s">
        <v>473</v>
      </c>
      <c r="Q37" s="6" t="s">
        <v>66</v>
      </c>
      <c r="R37" s="3" t="s">
        <v>374</v>
      </c>
      <c r="S37" s="6" t="s">
        <v>474</v>
      </c>
      <c r="T37" s="7" t="s">
        <v>475</v>
      </c>
      <c r="U37" s="6" t="s">
        <v>224</v>
      </c>
      <c r="V37" s="3" t="s">
        <v>476</v>
      </c>
      <c r="W37" s="3" t="s">
        <v>49</v>
      </c>
      <c r="X37" s="3" t="s">
        <v>86</v>
      </c>
      <c r="Y37" s="3" t="s">
        <v>477</v>
      </c>
      <c r="Z37" s="3" t="s">
        <v>478</v>
      </c>
      <c r="AA37" s="7" t="s">
        <v>466</v>
      </c>
    </row>
    <row r="38" customFormat="false" ht="120" hidden="false" customHeight="true" outlineLevel="0" collapsed="false">
      <c r="A38" s="2" t="s">
        <v>479</v>
      </c>
      <c r="B38" s="3" t="s">
        <v>28</v>
      </c>
      <c r="C38" s="3" t="s">
        <v>468</v>
      </c>
      <c r="D38" s="8" t="s">
        <v>56</v>
      </c>
      <c r="E38" s="3" t="s">
        <v>57</v>
      </c>
      <c r="F38" s="3" t="s">
        <v>58</v>
      </c>
      <c r="G38" s="3" t="s">
        <v>94</v>
      </c>
      <c r="H38" s="3" t="s">
        <v>95</v>
      </c>
      <c r="I38" s="3" t="s">
        <v>263</v>
      </c>
      <c r="J38" s="3" t="s">
        <v>264</v>
      </c>
      <c r="K38" s="5" t="s">
        <v>37</v>
      </c>
      <c r="L38" s="3" t="s">
        <v>480</v>
      </c>
      <c r="M38" s="3" t="s">
        <v>481</v>
      </c>
      <c r="N38" s="3" t="s">
        <v>482</v>
      </c>
      <c r="O38" s="3" t="s">
        <v>483</v>
      </c>
      <c r="P38" s="3" t="s">
        <v>484</v>
      </c>
      <c r="Q38" s="6" t="s">
        <v>130</v>
      </c>
      <c r="R38" s="3" t="s">
        <v>374</v>
      </c>
      <c r="S38" s="6" t="s">
        <v>485</v>
      </c>
      <c r="T38" s="7" t="s">
        <v>486</v>
      </c>
      <c r="U38" s="6" t="s">
        <v>487</v>
      </c>
      <c r="V38" s="3" t="s">
        <v>488</v>
      </c>
      <c r="W38" s="3" t="s">
        <v>49</v>
      </c>
      <c r="X38" s="3" t="s">
        <v>489</v>
      </c>
      <c r="Y38" s="3" t="s">
        <v>477</v>
      </c>
      <c r="Z38" s="3" t="s">
        <v>478</v>
      </c>
      <c r="AA38" s="7" t="s">
        <v>466</v>
      </c>
    </row>
    <row r="39" customFormat="false" ht="120" hidden="false" customHeight="true" outlineLevel="0" collapsed="false">
      <c r="A39" s="2" t="s">
        <v>490</v>
      </c>
      <c r="B39" s="3" t="s">
        <v>28</v>
      </c>
      <c r="C39" s="3" t="s">
        <v>491</v>
      </c>
      <c r="D39" s="4" t="s">
        <v>30</v>
      </c>
      <c r="E39" s="3" t="s">
        <v>31</v>
      </c>
      <c r="F39" s="3" t="s">
        <v>32</v>
      </c>
      <c r="G39" s="3" t="s">
        <v>33</v>
      </c>
      <c r="H39" s="3" t="s">
        <v>34</v>
      </c>
      <c r="I39" s="3" t="s">
        <v>263</v>
      </c>
      <c r="J39" s="3" t="s">
        <v>264</v>
      </c>
      <c r="K39" s="5" t="s">
        <v>37</v>
      </c>
      <c r="L39" s="3" t="s">
        <v>492</v>
      </c>
      <c r="M39" s="3" t="s">
        <v>493</v>
      </c>
      <c r="N39" s="3" t="s">
        <v>494</v>
      </c>
      <c r="O39" s="3" t="s">
        <v>495</v>
      </c>
      <c r="P39" s="3" t="s">
        <v>496</v>
      </c>
      <c r="Q39" s="6" t="s">
        <v>101</v>
      </c>
      <c r="R39" s="3" t="s">
        <v>374</v>
      </c>
      <c r="S39" s="6" t="s">
        <v>497</v>
      </c>
      <c r="T39" s="7" t="s">
        <v>498</v>
      </c>
      <c r="U39" s="6" t="s">
        <v>499</v>
      </c>
      <c r="V39" s="3" t="s">
        <v>500</v>
      </c>
      <c r="W39" s="3" t="s">
        <v>49</v>
      </c>
      <c r="X39" s="3" t="s">
        <v>501</v>
      </c>
      <c r="Y39" s="3" t="s">
        <v>502</v>
      </c>
      <c r="Z39" s="3" t="s">
        <v>478</v>
      </c>
      <c r="AA39" s="7" t="s">
        <v>466</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 ref="T30" r:id="rId57" location="L22%20https://github.com/spencerwon/navanax1/blob/tester/src/navanax/governor.py%23L169" display="https://github.com/spencerwon/navanax1/blob/tester/config/base.yaml#L22 https://github.com/spencerwon/navanax1/blob/tester/src/navanax/governor.py#L169"/>
    <hyperlink ref="AA30" r:id="rId58" display="#1"/>
    <hyperlink ref="T31" r:id="rId59" location="L217%20https://github.com/spencerwon/navanax1/blob/tester/src/navanax/governor.py%23L360" display="https://github.com/spencerwon/navanax1/blob/tester/src/navanax/governor.py#L217 https://github.com/spencerwon/navanax1/blob/tester/src/navanax/governor.py#L360"/>
    <hyperlink ref="AA31" r:id="rId60" display="#1"/>
    <hyperlink ref="T32" r:id="rId61" location="L208%20https://github.com/spencerwon/navanax1/blob/tester/src/navanax/cli.py%23L194" display="https://github.com/spencerwon/navanax1/blob/tester/src/navanax/opstore.py#L208 https://github.com/spencerwon/navanax1/blob/tester/src/navanax/cli.py#L194"/>
    <hyperlink ref="AA32" r:id="rId62" display="#1"/>
    <hyperlink ref="T33" r:id="rId63" location="L150%20https://github.com/spencerwon/navanax1/blob/tester/src/navanax/codec.py%23L168%20https://github.com/spencerwon/navanax1/blob/tester/src/navanax/codec.py%23L300" display="https://github.com/spencerwon/navanax1/blob/tester/src/navanax/codec.py#L150 https://github.com/spencerwon/navanax1/blob/tester/src/navanax/codec.py#L168 https://github.com/spencerwon/navanax1/blob/tester/src/navanax/codec.py#L300"/>
    <hyperlink ref="AA33" r:id="rId64" display="#2"/>
    <hyperlink ref="T34" r:id="rId65" location="L61%20https://github.com/spencerwon/navanax1/blob/tester/tools/secrets_check.py%23L1" display="https://github.com/spencerwon/navanax1/blob/tester/.github/workflows/ci.yml#L61 https://github.com/spencerwon/navanax1/blob/tester/tools/secrets_check.py#L1"/>
    <hyperlink ref="AA34" r:id="rId66" display="#2"/>
    <hyperlink ref="T35" r:id="rId67" location="L12" display="https://github.com/spencerwon/navanax1/blob/tester/.github/workflows/ci.yml#L12"/>
    <hyperlink ref="AA35" r:id="rId68" display="#2"/>
    <hyperlink ref="T36" r:id="rId69" location="L1%20https://github.com/spencerwon/navanax1/blob/tester/src/navanax/stream.py%23L755%20https://github.com/spencerwon/navanax1/blob/tester/tools/preflight.py%23L52" display="https://github.com/spencerwon/navanax1/blob/tester/src/navanax/tls.py#L1 https://github.com/spencerwon/navanax1/blob/tester/src/navanax/stream.py#L755 https://github.com/spencerwon/navanax1/blob/tester/tools/preflight.py#L52"/>
    <hyperlink ref="AA36" r:id="rId70" display="#3"/>
    <hyperlink ref="T37" r:id="rId71" location="L108" display="https://github.com/spencerwon/navanax1/blob/tester/docs/07_STORAGE_AND_RECORDING.md#L108"/>
    <hyperlink ref="AA37" r:id="rId72" display="#3"/>
    <hyperlink ref="T38" r:id="rId73" location="L118" display="https://github.com/spencerwon/navanax1/blob/tester/src/navanax/cli.py#L118"/>
    <hyperlink ref="AA38" r:id="rId74" display="#3"/>
    <hyperlink ref="T39" r:id="rId75" location="L1660" display="https://github.com/spencerwon/navanax1/blob/tester/tests/selftest.py#L1660"/>
    <hyperlink ref="AA39" r:id="rId76" display="#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7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503</v>
      </c>
    </row>
    <row r="2" customFormat="false" ht="33.75" hidden="false" customHeight="true" outlineLevel="0" collapsed="false">
      <c r="A2" s="12" t="s">
        <v>504</v>
      </c>
      <c r="B2" s="12"/>
      <c r="C2" s="12"/>
      <c r="D2" s="12"/>
      <c r="E2" s="12"/>
    </row>
    <row r="4" customFormat="false" ht="15" hidden="false" customHeight="false" outlineLevel="0" collapsed="false">
      <c r="A4" s="13" t="s">
        <v>3</v>
      </c>
      <c r="B4" s="13" t="s">
        <v>505</v>
      </c>
      <c r="C4" s="13" t="s">
        <v>5</v>
      </c>
      <c r="D4" s="13" t="s">
        <v>506</v>
      </c>
      <c r="E4" s="13" t="s">
        <v>507</v>
      </c>
    </row>
    <row r="5" customFormat="false" ht="15" hidden="false" customHeight="false" outlineLevel="0" collapsed="false">
      <c r="A5" s="14" t="s">
        <v>508</v>
      </c>
      <c r="B5" s="15" t="s">
        <v>509</v>
      </c>
      <c r="C5" s="15" t="s">
        <v>510</v>
      </c>
      <c r="D5" s="15" t="n">
        <f aca="false">COUNTIFS('Bug log'!$D$2:$D$39,$A5,'Bug log'!$K$2:$K$39,"&lt;&gt;fixed")</f>
        <v>0</v>
      </c>
      <c r="E5" s="15" t="n">
        <f aca="false">COUNTIF('Bug log'!$D$2:$D$39,$A5)</f>
        <v>0</v>
      </c>
    </row>
    <row r="6" customFormat="false" ht="15" hidden="false" customHeight="false" outlineLevel="0" collapsed="false">
      <c r="A6" s="16" t="s">
        <v>511</v>
      </c>
      <c r="B6" s="15" t="s">
        <v>512</v>
      </c>
      <c r="C6" s="15" t="s">
        <v>513</v>
      </c>
      <c r="D6" s="15" t="n">
        <f aca="false">COUNTIFS('Bug log'!$D$2:$D$39,$A6,'Bug log'!$K$2:$K$39,"&lt;&gt;fixed")</f>
        <v>0</v>
      </c>
      <c r="E6" s="15" t="n">
        <f aca="false">COUNTIF('Bug log'!$D$2:$D$39,$A6)</f>
        <v>0</v>
      </c>
    </row>
    <row r="7" customFormat="false" ht="15" hidden="false" customHeight="false" outlineLevel="0" collapsed="false">
      <c r="A7" s="17" t="s">
        <v>30</v>
      </c>
      <c r="B7" s="15" t="s">
        <v>31</v>
      </c>
      <c r="C7" s="15" t="s">
        <v>32</v>
      </c>
      <c r="D7" s="15" t="n">
        <f aca="false">COUNTIFS('Bug log'!$D$2:$D$39,$A7,'Bug log'!$K$2:$K$39,"&lt;&gt;fixed")</f>
        <v>0</v>
      </c>
      <c r="E7" s="15" t="n">
        <f aca="false">COUNTIF('Bug log'!$D$2:$D$39,$A7)</f>
        <v>20</v>
      </c>
    </row>
    <row r="8" customFormat="false" ht="15" hidden="false" customHeight="false" outlineLevel="0" collapsed="false">
      <c r="A8" s="18" t="s">
        <v>136</v>
      </c>
      <c r="B8" s="15" t="s">
        <v>137</v>
      </c>
      <c r="C8" s="15" t="s">
        <v>138</v>
      </c>
      <c r="D8" s="15" t="n">
        <f aca="false">COUNTIFS('Bug log'!$D$2:$D$39,$A8,'Bug log'!$K$2:$K$39,"&lt;&gt;fixed")</f>
        <v>0</v>
      </c>
      <c r="E8" s="15" t="n">
        <f aca="false">COUNTIF('Bug log'!$D$2:$D$39,$A8)</f>
        <v>7</v>
      </c>
    </row>
    <row r="9" customFormat="false" ht="15" hidden="false" customHeight="false" outlineLevel="0" collapsed="false">
      <c r="A9" s="19" t="s">
        <v>56</v>
      </c>
      <c r="B9" s="15" t="s">
        <v>57</v>
      </c>
      <c r="C9" s="15" t="s">
        <v>58</v>
      </c>
      <c r="D9" s="15" t="n">
        <f aca="false">COUNTIFS('Bug log'!$D$2:$D$39,$A9,'Bug log'!$K$2:$K$39,"&lt;&gt;fixed")</f>
        <v>0</v>
      </c>
      <c r="E9" s="15" t="n">
        <f aca="false">COUNTIF('Bug log'!$D$2:$D$39,$A9)</f>
        <v>10</v>
      </c>
    </row>
    <row r="10" customFormat="false" ht="15" hidden="false" customHeight="false" outlineLevel="0" collapsed="false">
      <c r="A10" s="20" t="s">
        <v>91</v>
      </c>
      <c r="B10" s="15" t="s">
        <v>92</v>
      </c>
      <c r="C10" s="15" t="s">
        <v>93</v>
      </c>
      <c r="D10" s="15" t="n">
        <f aca="false">COUNTIFS('Bug log'!$D$2:$D$39,$A10,'Bug log'!$K$2:$K$39,"&lt;&gt;fixed")</f>
        <v>0</v>
      </c>
      <c r="E10" s="15" t="n">
        <f aca="false">COUNTIF('Bug log'!$D$2:$D$39,$A10)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514</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515</v>
      </c>
      <c r="B21" s="15" t="s">
        <v>516</v>
      </c>
    </row>
    <row r="22" customFormat="false" ht="15" hidden="false" customHeight="false" outlineLevel="0" collapsed="false">
      <c r="A22" s="22" t="s">
        <v>517</v>
      </c>
      <c r="B22" s="15" t="s">
        <v>518</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429</v>
      </c>
      <c r="B25" s="15" t="s">
        <v>430</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519</v>
      </c>
    </row>
    <row r="2" customFormat="false" ht="15" hidden="false" customHeight="false" outlineLevel="0" collapsed="false">
      <c r="A2" s="15"/>
    </row>
    <row r="3" customFormat="false" ht="15" hidden="false" customHeight="false" outlineLevel="0" collapsed="false">
      <c r="A3" s="15" t="s">
        <v>520</v>
      </c>
    </row>
    <row r="4" customFormat="false" ht="15" hidden="false" customHeight="false" outlineLevel="0" collapsed="false">
      <c r="A4" s="15" t="s">
        <v>521</v>
      </c>
    </row>
    <row r="5" customFormat="false" ht="15" hidden="false" customHeight="false" outlineLevel="0" collapsed="false">
      <c r="A5" s="15" t="s">
        <v>522</v>
      </c>
    </row>
    <row r="6" customFormat="false" ht="15" hidden="false" customHeight="false" outlineLevel="0" collapsed="false">
      <c r="A6" s="15" t="s">
        <v>523</v>
      </c>
    </row>
    <row r="7" customFormat="false" ht="15" hidden="false" customHeight="false" outlineLevel="0" collapsed="false">
      <c r="A7" s="15"/>
    </row>
    <row r="8" customFormat="false" ht="15" hidden="false" customHeight="false" outlineLevel="0" collapsed="false">
      <c r="A8" s="15" t="s">
        <v>524</v>
      </c>
    </row>
    <row r="9" customFormat="false" ht="15" hidden="false" customHeight="false" outlineLevel="0" collapsed="false">
      <c r="A9" s="15" t="s">
        <v>525</v>
      </c>
    </row>
    <row r="10" customFormat="false" ht="15" hidden="false" customHeight="false" outlineLevel="0" collapsed="false">
      <c r="A10" s="15"/>
    </row>
    <row r="11" customFormat="false" ht="15" hidden="false" customHeight="false" outlineLevel="0" collapsed="false">
      <c r="A11" s="15" t="s">
        <v>526</v>
      </c>
    </row>
    <row r="12" customFormat="false" ht="15" hidden="false" customHeight="false" outlineLevel="0" collapsed="false">
      <c r="A12" s="15" t="s">
        <v>527</v>
      </c>
    </row>
    <row r="13" customFormat="false" ht="15" hidden="false" customHeight="false" outlineLevel="0" collapsed="false">
      <c r="A13" s="15" t="s">
        <v>528</v>
      </c>
    </row>
    <row r="14" customFormat="false" ht="15" hidden="false" customHeight="false" outlineLevel="0" collapsed="false">
      <c r="A14" s="15" t="s">
        <v>529</v>
      </c>
    </row>
    <row r="15" customFormat="false" ht="15" hidden="false" customHeight="false" outlineLevel="0" collapsed="false">
      <c r="A15" s="15" t="s">
        <v>530</v>
      </c>
    </row>
    <row r="16" customFormat="false" ht="15" hidden="false" customHeight="false" outlineLevel="0" collapsed="false">
      <c r="A16" s="15"/>
    </row>
    <row r="17" customFormat="false" ht="15" hidden="false" customHeight="false" outlineLevel="0" collapsed="false">
      <c r="A17" s="15" t="s">
        <v>531</v>
      </c>
    </row>
    <row r="18" customFormat="false" ht="15" hidden="false" customHeight="false" outlineLevel="0" collapsed="false">
      <c r="A18" s="15" t="s">
        <v>532</v>
      </c>
    </row>
    <row r="19" customFormat="false" ht="15" hidden="false" customHeight="false" outlineLevel="0" collapsed="false">
      <c r="A19" s="15" t="s">
        <v>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2026-09-09T10:25:41Z</dcterms:created>
  <dc:creator>openpyxl</dc:creator>
  <dc:description/>
  <dc:language>en-US</dc:language>
  <cp:lastModifiedBy/>
  <dcterms:modified xsi:type="dcterms:W3CDTF">2026-09-09T10:25:41Z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