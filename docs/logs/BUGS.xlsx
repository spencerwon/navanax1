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9" headerRowCount="1">
  <autoFilter ref="A1:AA5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table" Target="/xl/tables/table1.xml" Id="rId113"/></Relationships>
</file>

<file path=xl/worksheets/sheet1.xml><?xml version="1.0" encoding="utf-8"?>
<worksheet xmlns="http://schemas.openxmlformats.org/spreadsheetml/2006/main">
  <sheetPr>
    <outlinePr summaryBelow="1" summaryRight="1"/>
    <pageSetUpPr/>
  </sheetPr>
  <dimension ref="A1:AA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s>
  <pageMargins left="0.75" right="0.75" top="1" bottom="1" header="0.5" footer="0.5"/>
  <tableParts count="1">
    <tablePart xmlns:r="http://schemas.openxmlformats.org/officeDocument/2006/relationships" r:id="rId113"/>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log'!$D$2:$D$59,$A5,'Bug log'!$K$2:$K$59,"&lt;&gt;fixed")</f>
        <v/>
      </c>
      <c r="E5" s="15">
        <f>COUNTIF('Bug log'!$D$2:$D$59,$A5)</f>
        <v/>
      </c>
    </row>
    <row r="6">
      <c r="A6" s="16" t="inlineStr">
        <is>
          <t>S0b</t>
        </is>
      </c>
      <c r="B6" s="15" t="inlineStr">
        <is>
          <t>Backtest integrity</t>
        </is>
      </c>
      <c r="C6" s="15" t="inlineStr">
        <is>
          <t>HALT BACKTESTS</t>
        </is>
      </c>
      <c r="D6" s="15">
        <f>COUNTIFS('Bug log'!$D$2:$D$59,$A6,'Bug log'!$K$2:$K$59,"&lt;&gt;fixed")</f>
        <v/>
      </c>
      <c r="E6" s="15">
        <f>COUNTIF('Bug log'!$D$2:$D$59,$A6)</f>
        <v/>
      </c>
    </row>
    <row r="7">
      <c r="A7" s="17" t="inlineStr">
        <is>
          <t>S1</t>
        </is>
      </c>
      <c r="B7" s="15" t="inlineStr">
        <is>
          <t>Silent wrongness</t>
        </is>
      </c>
      <c r="C7" s="15" t="inlineStr">
        <is>
          <t>Alert, non-suppressible</t>
        </is>
      </c>
      <c r="D7" s="15">
        <f>COUNTIFS('Bug log'!$D$2:$D$59,$A7,'Bug log'!$K$2:$K$59,"&lt;&gt;fixed")</f>
        <v/>
      </c>
      <c r="E7" s="15">
        <f>COUNTIF('Bug log'!$D$2:$D$59,$A7)</f>
        <v/>
      </c>
    </row>
    <row r="8">
      <c r="A8" s="18" t="inlineStr">
        <is>
          <t>S2</t>
        </is>
      </c>
      <c r="B8" s="15" t="inlineStr">
        <is>
          <t>Data loss / availability</t>
        </is>
      </c>
      <c r="C8" s="15" t="inlineStr">
        <is>
          <t>Record the gap, never fill it</t>
        </is>
      </c>
      <c r="D8" s="15">
        <f>COUNTIFS('Bug log'!$D$2:$D$59,$A8,'Bug log'!$K$2:$K$59,"&lt;&gt;fixed")</f>
        <v/>
      </c>
      <c r="E8" s="15">
        <f>COUNTIF('Bug log'!$D$2:$D$59,$A8)</f>
        <v/>
      </c>
    </row>
    <row r="9">
      <c r="A9" s="19" t="inlineStr">
        <is>
          <t>S3</t>
        </is>
      </c>
      <c r="B9" s="15" t="inlineStr">
        <is>
          <t>Functional break</t>
        </is>
      </c>
      <c r="C9" s="15" t="inlineStr">
        <is>
          <t>Fix in this phase</t>
        </is>
      </c>
      <c r="D9" s="15">
        <f>COUNTIFS('Bug log'!$D$2:$D$59,$A9,'Bug log'!$K$2:$K$59,"&lt;&gt;fixed")</f>
        <v/>
      </c>
      <c r="E9" s="15">
        <f>COUNTIF('Bug log'!$D$2:$D$59,$A9)</f>
        <v/>
      </c>
    </row>
    <row r="10">
      <c r="A10" s="20" t="inlineStr">
        <is>
          <t>S4</t>
        </is>
      </c>
      <c r="B10" s="15" t="inlineStr">
        <is>
          <t>Cosmetic</t>
        </is>
      </c>
      <c r="C10" s="15" t="inlineStr">
        <is>
          <t>Backlog</t>
        </is>
      </c>
      <c r="D10" s="15">
        <f>COUNTIFS('Bug log'!$D$2:$D$59,$A10,'Bug log'!$K$2:$K$59,"&lt;&gt;fixed")</f>
        <v/>
      </c>
      <c r="E10" s="15">
        <f>COUNTIF('Bug log'!$D$2:$D$59,$A10)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2026-09-10T08:44:00Z</dcterms:created>
  <dcterms:modified xmlns:dcterms="http://purl.org/dc/terms/" xmlns:xsi="http://www.w3.org/2001/XMLSchema-instance" xsi:type="dcterms:W3CDTF">2026-09-10T08:44:00Z</dcterms:modified>
</cp:coreProperties>
</file>