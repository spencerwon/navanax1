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g log" sheetId="1" state="visible" r:id="rId3"/>
    <sheet name="Severity hierarchy" sheetId="2" state="visible" r:id="rId4"/>
    <sheet name="How this file is mad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<sst xmlns="http://schemas.openxmlformats.org/spreadsheetml/2006/main" count="950" uniqueCount="460">
  <si>
    <t xml:space="preserve">ID</t>
  </si>
  <si>
    <t xml:space="preserve">Date</t>
  </si>
  <si>
    <t xml:space="preserve">Time (CT)</t>
  </si>
  <si>
    <t xml:space="preserve">Severity</t>
  </si>
  <si>
    <t xml:space="preserve">Severity means</t>
  </si>
  <si>
    <t xml:space="preserve">Response</t>
  </si>
  <si>
    <t xml:space="preserve">Priority</t>
  </si>
  <si>
    <t xml:space="preserve">Priority means</t>
  </si>
  <si>
    <t xml:space="preserve">Class</t>
  </si>
  <si>
    <t xml:space="preserve">Class means</t>
  </si>
  <si>
    <t xml:space="preserve">Status</t>
  </si>
  <si>
    <t xml:space="preserve">Summary</t>
  </si>
  <si>
    <t xml:space="preserve">Root cause</t>
  </si>
  <si>
    <t xml:space="preserve">Data impact</t>
  </si>
  <si>
    <t xml:space="preserve">Resolution</t>
  </si>
  <si>
    <t xml:space="preserve">Monitor gap (why it was not caught)</t>
  </si>
  <si>
    <t xml:space="preserve">Requirement</t>
  </si>
  <si>
    <t xml:space="preserve">Branch</t>
  </si>
  <si>
    <t xml:space="preserve">Code index</t>
  </si>
  <si>
    <t xml:space="preserve">Open in GitHub</t>
  </si>
  <si>
    <t xml:space="preserve">Regression test</t>
  </si>
  <si>
    <t xml:space="preserve">Detected by</t>
  </si>
  <si>
    <t xml:space="preserve">Channel</t>
  </si>
  <si>
    <t xml:space="preserve">Occurred</t>
  </si>
  <si>
    <t xml:space="preserve">Logged</t>
  </si>
  <si>
    <t xml:space="preserve">Resolved</t>
  </si>
  <si>
    <t xml:space="preserve">PR</t>
  </si>
  <si>
    <t xml:space="preserve">BUG-20260909-001</t>
  </si>
  <si>
    <t xml:space="preserve">2026-09-09</t>
  </si>
  <si>
    <t xml:space="preserve">01:05:00</t>
  </si>
  <si>
    <t xml:space="preserve">S1</t>
  </si>
  <si>
    <t xml:space="preserve">Silent wrongness</t>
  </si>
  <si>
    <t xml:space="preserve">Alert, non-suppressible</t>
  </si>
  <si>
    <t xml:space="preserve">P0</t>
  </si>
  <si>
    <t xml:space="preserve">Drop everything -- blocks merge</t>
  </si>
  <si>
    <t xml:space="preserve">CFG</t>
  </si>
  <si>
    <t xml:space="preserve">Configuration / environment</t>
  </si>
  <si>
    <t xml:space="preserve">fixed</t>
  </si>
  <si>
    <t xml:space="preserve">Entry points read only os.environ; never loaded the .env they told users to fill</t>
  </si>
  <si>
    <t xml:space="preserve">Every artifact around the code -- the error message, .env.example, .gitignore, 04_ENVIRONMENTS.md 6.2, setup.command's on-screen text -- specified that .env was read. No code ever opened it.</t>
  </si>
  <si>
    <t xml:space="preserve">None. Nothing had been ingested; both paths are read-only and abort before writing.</t>
  </si>
  <si>
    <t xml:space="preserve">Added src/navanax/dotenv.py and wired both entry points to it. Detects TextEdit RTF saves, BOM, CRLF, quotes, export prefixes.</t>
  </si>
  <si>
    <t xml:space="preserve">No test exercised a real entry point end to end. 49 assertions covered internals; zero covered "does a first-time operator get past step one".</t>
  </si>
  <si>
    <t xml:space="preserve">REQ-D-06</t>
  </si>
  <si>
    <t xml:space="preserve">feat/phase0-ingestion</t>
  </si>
  <si>
    <t xml:space="preserve">tools/preflight.py:L236  ·  src/navanax/cli.py:L50</t>
  </si>
  <si>
    <t xml:space="preserve">https://github.com/spencerwon/navanax1/blob/feat/phase0-ingestion/tools/preflight.py#L236 https://github.com/spencerwon/navanax1/blob/feat/phase0-ingestion/src/navanax/cli.py#L50</t>
  </si>
  <si>
    <t xml:space="preserve">tests/selftest.py::test_dotenv_loading</t>
  </si>
  <si>
    <t xml:space="preserve">Spencer, running setup.command on his own machine</t>
  </si>
  <si>
    <t xml:space="preserve">operator</t>
  </si>
  <si>
    <t xml:space="preserve">2026-09-09T00:38:00-05:00</t>
  </si>
  <si>
    <t xml:space="preserve">2026-09-09T01:05:00-05:00</t>
  </si>
  <si>
    <t xml:space="preserve">2026-09-09T01:40:00-05:00</t>
  </si>
  <si>
    <t xml:space="preserve">#1</t>
  </si>
  <si>
    <t xml:space="preserve">BUG-20260909-002</t>
  </si>
  <si>
    <t xml:space="preserve">02:20:00</t>
  </si>
  <si>
    <t xml:space="preserve">S3</t>
  </si>
  <si>
    <t xml:space="preserve">Functional break</t>
  </si>
  <si>
    <t xml:space="preserve">Fix in this phase</t>
  </si>
  <si>
    <t xml:space="preserve">ING</t>
  </si>
  <si>
    <t xml:space="preserve">Ingestion</t>
  </si>
  <si>
    <t xml:space="preserve">Stream consumer assumed Phoenix v1 map frames; OpenSea sends v2 arrays</t>
  </si>
  <si>
    <t xml:space="preserve">Phoenix ships two serialisers. v1 sends maps; v2 sends arrays [join_ref, ref, topic, event, payload]. OpenSea uses v2. The code called .get() on a list. AttributeError on the very first frame -- the join reply.</t>
  </si>
  <si>
    <t xml:space="preserve">None. No ingestion had run; the consumer crashed loudly on its first frame before writing anything.</t>
  </si>
  <si>
    <t xml:space="preserve">Added normalize_frame() handling both wire formats; both call sites route through it.</t>
  </si>
  <si>
    <t xml:space="preserve">No test used a real frame. Every synthetic fixture was a v1 map because that is the format I wrote them in -- the test data inherited the bug from the code it was testing.</t>
  </si>
  <si>
    <t xml:space="preserve">REQ-D-26</t>
  </si>
  <si>
    <t xml:space="preserve">src/navanax/stream.py:L71  ·  tools/preflight.py:L183</t>
  </si>
  <si>
    <t xml:space="preserve">https://github.com/spencerwon/navanax1/blob/feat/phase0-ingestion/src/navanax/stream.py#L71 https://github.com/spencerwon/navanax1/blob/feat/phase0-ingestion/tools/preflight.py#L183</t>
  </si>
  <si>
    <t xml:space="preserve">tests/selftest.py::test_phoenix_v2_arrays</t>
  </si>
  <si>
    <t xml:space="preserve">Spencer, first live WebSocket connection</t>
  </si>
  <si>
    <t xml:space="preserve">2026-09-09T00:50:00-05:00</t>
  </si>
  <si>
    <t xml:space="preserve">2026-09-09T02:20:00-05:00</t>
  </si>
  <si>
    <t xml:space="preserve">2026-09-09T02:35:00-05:00</t>
  </si>
  <si>
    <t xml:space="preserve">BUG-20260909-003</t>
  </si>
  <si>
    <t xml:space="preserve">02:25:00</t>
  </si>
  <si>
    <t xml:space="preserve">Documented REST budget of 600/hr was an unverified assumption; measured limit is 120/hr</t>
  </si>
  <si>
    <t xml:space="preserve">The 600 figure was never sourced. It appeared once, was repeated across seven documents, and its ubiquity became its credibility. Caveat on the replacement: that response carried cf-cache-status HIT, so 120 is a provisional measurement, not ground truth.</t>
  </si>
  <si>
    <t xml:space="preserve">None -- no ingestion had run. But every budget calculation in the document set was wrong by 5x.</t>
  </si>
  <si>
    <t xml:space="preserve">Config default 120, reserve floors rescaled 0/4/12/24, five docs corrected. Numbers now carry provenance tags: MEASURED &lt;date&gt; / ASSUMED / FROM DOCS &lt;url&gt;.</t>
  </si>
  <si>
    <t xml:space="preserve">Nothing in the process required a figure to have a source.</t>
  </si>
  <si>
    <t xml:space="preserve">REQ-D-02</t>
  </si>
  <si>
    <t xml:space="preserve">config/base.yaml:L22  ·  src/navanax/governor.py:L1</t>
  </si>
  <si>
    <t xml:space="preserve">https://github.com/spencerwon/navanax1/blob/feat/phase0-ingestion/config/base.yaml#L22 https://github.com/spencerwon/navanax1/blob/feat/phase0-ingestion/src/navanax/governor.py#L1</t>
  </si>
  <si>
    <t xml:space="preserve">tests/selftest.py::test_governor_budget</t>
  </si>
  <si>
    <t xml:space="preserve">Spencer, first live API response header x-ratelimit-limit: 120</t>
  </si>
  <si>
    <t xml:space="preserve">2026-09-09T00:15:00-05:00</t>
  </si>
  <si>
    <t xml:space="preserve">2026-09-09T02:25:00-05:00</t>
  </si>
  <si>
    <t xml:space="preserve">2026-09-09T02:50:00-05:00</t>
  </si>
  <si>
    <t xml:space="preserve">BUG-20260909-004</t>
  </si>
  <si>
    <t xml:space="preserve">02:45:00</t>
  </si>
  <si>
    <t xml:space="preserve">S4</t>
  </si>
  <si>
    <t xml:space="preserve">Cosmetic</t>
  </si>
  <si>
    <t xml:space="preserve">Backlog</t>
  </si>
  <si>
    <t xml:space="preserve">P1</t>
  </si>
  <si>
    <t xml:space="preserve">Before the next merge</t>
  </si>
  <si>
    <t xml:space="preserve">CI lint failed on first PR: 43 ruff errors; ruleset unpinned and tools/ unlinted</t>
  </si>
  <si>
    <t xml:space="preserve">[tool.ruff] set only line-length and target-version with no select, so the effective ruleset was whatever ruff's defaults were in the version CI installed -- a green build could go red on a day nobody touched the code. Separately, lint never covered tools/, where preflight.py lives.</t>
  </si>
  <si>
    <t xml:space="preserve">None. Style only.</t>
  </si>
  <si>
    <t xml:space="preserve">Removed 4 unused imports, wrapped 8 long lines, narrowed 5 broad excepts, pinned the ruleset, extended lint to tools/. REJECTED Copilot's suggested narrowing of the heartbeat except -- it would let a real heartbeat failure propagate from a finally block and mask the connection error.</t>
  </si>
  <si>
    <t xml:space="preserve">Two: unpinned ruleset, and tools/ was never linted.</t>
  </si>
  <si>
    <t xml:space="preserve">REQ-N-13</t>
  </si>
  <si>
    <t xml:space="preserve">pyproject.toml:L30  ·  .github/workflows/ci.yml:L1</t>
  </si>
  <si>
    <t xml:space="preserve">https://github.com/spencerwon/navanax1/blob/feat/phase0-ingestion/pyproject.toml#L30 https://github.com/spencerwon/navanax1/blob/feat/phase0-ingestion/.github/workflows/ci.yml#L1</t>
  </si>
  <si>
    <t xml:space="preserve">CI itself (ruff check src tests tools)</t>
  </si>
  <si>
    <t xml:space="preserve">GitHub Actions CI on PR #1 -- the gate working as designed</t>
  </si>
  <si>
    <t xml:space="preserve">ci</t>
  </si>
  <si>
    <t xml:space="preserve">2026-09-09T02:40:00-05:00</t>
  </si>
  <si>
    <t xml:space="preserve">2026-09-09T02:45:00-05:00</t>
  </si>
  <si>
    <t xml:space="preserve">2026-09-09T03:10:00-05:00</t>
  </si>
  <si>
    <t xml:space="preserve">BUG-20260909-005</t>
  </si>
  <si>
    <t xml:space="preserve">07:40:00</t>
  </si>
  <si>
    <t xml:space="preserve">A rejected phx_join was invisible -- control frames returned before landing and the reply was never read</t>
  </si>
  <si>
    <t xml:space="preserve">handle_frame returned phx_reply / phx_close / phx_error before landing them and before anything read the status field. BUG-002's own closing note said confirming the join was "the next thing to establish" -- and it was not.</t>
  </si>
  <si>
    <t xml:space="preserve">Potentially total. An expired key or a wrong slug leaves a process that runs for days at 0 events with "open gaps 0" and healthy stats. Every event in that window is lost and the evidence of why was never written to disk.</t>
  </si>
  <si>
    <t xml:space="preserve">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</si>
  <si>
    <t xml:space="preserve">Nothing asserted that a subscription was accepted.</t>
  </si>
  <si>
    <t xml:space="preserve">src/navanax/stream.py:L256  ·  src/navanax/stream.py:L343</t>
  </si>
  <si>
    <t xml:space="preserve">https://github.com/spencerwon/navanax1/blob/feat/phase0-ingestion/src/navanax/stream.py#L256 https://github.com/spencerwon/navanax1/blob/feat/phase0-ingestion/src/navanax/stream.py#L343</t>
  </si>
  <si>
    <t xml:space="preserve">tests/selftest.py::test_join_reply_is_read</t>
  </si>
  <si>
    <t xml:space="preserve">validator agent (opus), independent adversarial review of PR #1</t>
  </si>
  <si>
    <t xml:space="preserve">validator</t>
  </si>
  <si>
    <t xml:space="preserve">2026-09-09T07:40:00-05:00</t>
  </si>
  <si>
    <t xml:space="preserve">2026-09-09T09:05:00-05:00</t>
  </si>
  <si>
    <t xml:space="preserve">BUG-20260909-006</t>
  </si>
  <si>
    <t xml:space="preserve">REQ-D-26a's time-based frame flush did not exist -- the 5s cadence only fired when the next event arrived</t>
  </si>
  <si>
    <t xml:space="preserve">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</si>
  <si>
    <t xml:space="preserve">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</si>
  <si>
    <t xml:space="preserve">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</si>
  <si>
    <t xml:space="preserve">The self-test drove the flush by writing events. It never tested the idle case, which is the normal regime for the target market.</t>
  </si>
  <si>
    <t xml:space="preserve">REQ-D-26a</t>
  </si>
  <si>
    <t xml:space="preserve">src/navanax/landing.py:L303</t>
  </si>
  <si>
    <t xml:space="preserve">https://github.com/spencerwon/navanax1/blob/feat/phase0-ingestion/src/navanax/landing.py#L303</t>
  </si>
  <si>
    <t xml:space="preserve">tests/selftest.py::test_idle_flush_cadence</t>
  </si>
  <si>
    <t xml:space="preserve">2026-09-09T00:30:00-05:00</t>
  </si>
  <si>
    <t xml:space="preserve">BUG-20260909-007</t>
  </si>
  <si>
    <t xml:space="preserve">S2</t>
  </si>
  <si>
    <t xml:space="preserve">Data loss / availability</t>
  </si>
  <si>
    <t xml:space="preserve">Record the gap, never fill it</t>
  </si>
  <si>
    <t xml:space="preserve">verify_manifest walked manifest-&gt;disk only; orphaned complete files were invisible and reported clean</t>
  </si>
  <si>
    <t xml:space="preserve">A FileRecord was written only in _close_current. The one audit whose entire job is to notice that something is wrong could not see data files it had no record of, because it only ever looked up records it already had.</t>
  </si>
  <si>
    <t xml:space="preserve">Killed before close() -&gt; 553 bytes and 6 readable events on disk, _manifest/ empty, and `navanax verify` printed "landing zone verified clean". Every ungraceful termination orphaned its final file, permanently unreachable via the manifest path ManifestWriter documents as mandatory.</t>
  </si>
  <si>
    <t xml:space="preserve">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</si>
  <si>
    <t xml:space="preserve">The manifest test only ever verified files the test itself had closed.</t>
  </si>
  <si>
    <t xml:space="preserve">REQ-D-28</t>
  </si>
  <si>
    <t xml:space="preserve">src/navanax/landing.py:L402  ·  src/navanax/landing.py:L358</t>
  </si>
  <si>
    <t xml:space="preserve">https://github.com/spencerwon/navanax1/blob/feat/phase0-ingestion/src/navanax/landing.py#L402 https://github.com/spencerwon/navanax1/blob/feat/phase0-ingestion/src/navanax/landing.py#L358</t>
  </si>
  <si>
    <t xml:space="preserve">tests/selftest.py::test_verify_sees_orphans_and_open_files</t>
  </si>
  <si>
    <t xml:space="preserve">BUG-20260909-008</t>
  </si>
  <si>
    <t xml:space="preserve">A clean WebSocket close recorded no gap and reconnected with zero backoff</t>
  </si>
  <si>
    <t xml:space="preserve">A normal return from _run_once was treated as success: backoff reset to 1.0 and the loop continued with no sleep at all. Because no exception was raised, it looked like a run of successes.</t>
  </si>
  <si>
    <t xml:space="preserve">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</si>
  <si>
    <t xml:space="preserve">An unrequested clean close now opens a gap, counts a reconnect, and goes through the same backoff path as an error. Backoff resets only after a connection that stayed up for stable_seconds (60s default), so a flapping connection can no longer retry at full speed forever.</t>
  </si>
  <si>
    <t xml:space="preserve">No test ever exercised a connection that closed without raising.</t>
  </si>
  <si>
    <t xml:space="preserve">REQ-D-14</t>
  </si>
  <si>
    <t xml:space="preserve">src/navanax/stream.py:L319</t>
  </si>
  <si>
    <t xml:space="preserve">https://github.com/spencerwon/navanax1/blob/feat/phase0-ingestion/src/navanax/stream.py#L319</t>
  </si>
  <si>
    <t xml:space="preserve">tests/selftest.py::test_clean_close_records_gap_and_backs_off</t>
  </si>
  <si>
    <t xml:space="preserve">BUG-20260909-009</t>
  </si>
  <si>
    <t xml:space="preserve">No gap was recorded across a process restart; the checkpoint table was never written by production code</t>
  </si>
  <si>
    <t xml:space="preserve">opstore.save_checkpoint was called only from tests/selftest.py. cli.py called it nowhere.</t>
  </si>
  <si>
    <t xml:space="preserve">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</si>
  <si>
    <t xml:space="preserve">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</si>
  <si>
    <t xml:space="preserve">No test covered a second run against an existing operational store.</t>
  </si>
  <si>
    <t xml:space="preserve">src/navanax/opstore.py:L149  ·  src/navanax/cli.py:L45</t>
  </si>
  <si>
    <t xml:space="preserve">https://github.com/spencerwon/navanax1/blob/feat/phase0-ingestion/src/navanax/opstore.py#L149 https://github.com/spencerwon/navanax1/blob/feat/phase0-ingestion/src/navanax/cli.py#L45</t>
  </si>
  <si>
    <t xml:space="preserve">tests/selftest.py::test_restart_records_downtime_gap</t>
  </si>
  <si>
    <t xml:space="preserve">BUG-20260909-010</t>
  </si>
  <si>
    <t xml:space="preserve">07:45:00</t>
  </si>
  <si>
    <t xml:space="preserve">ZstdCodec could silently return only the first frame of a multi-frame file, depending on the installed python-zstandard version</t>
  </si>
  <si>
    <t xml:space="preserve">A correctness property was left resting on a third-party default that changed between releases, in an environment where the version could not be checked.</t>
  </si>
  <si>
    <t xml:space="preserve">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</si>
  <si>
    <t xml:space="preserve">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</si>
  <si>
    <t xml:space="preserve">The self-test used the gzip codec exclusively. The production codec had zero coverage, and the sandbox where the code was written cannot install zstandard -- so no amount of local testing could have caught it. The startup self-check exists because the test suite structurally cannot.</t>
  </si>
  <si>
    <t xml:space="preserve">src/navanax/codec.py:L160  ·  pyproject.toml:L12</t>
  </si>
  <si>
    <t xml:space="preserve">https://github.com/spencerwon/navanax1/blob/feat/phase0-ingestion/src/navanax/codec.py#L160 https://github.com/spencerwon/navanax1/blob/feat/phase0-ingestion/pyproject.toml#L12</t>
  </si>
  <si>
    <t xml:space="preserve">tests/selftest.py::test_codec_multiframe_contract</t>
  </si>
  <si>
    <t xml:space="preserve">validator agent (opus) raised it as must-settle-before-merge</t>
  </si>
  <si>
    <t xml:space="preserve">2026-09-09T07:45:00-05:00</t>
  </si>
  <si>
    <t xml:space="preserve">BUG-20260909-011</t>
  </si>
  <si>
    <t xml:space="preserve">08:20:00</t>
  </si>
  <si>
    <t xml:space="preserve">pyproject declared requires-python &gt;=3.12 while the operator's actual environment is Python 3.10</t>
  </si>
  <si>
    <t xml:space="preserve">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</si>
  <si>
    <t xml:space="preserve">None yet. Would have been an ImportError at startup on the operator's machine -- loud, not silent.</t>
  </si>
  <si>
    <t xml:space="preserve">Retargeted to &gt;=3.10, reverted the 3.11-only constructs, and added noqa with a reason where StrEnum would otherwise be suggested.</t>
  </si>
  <si>
    <t xml:space="preserve">Nothing checked the declared Python floor against the environment the operator runs in. CI tests 3.12 only.</t>
  </si>
  <si>
    <t xml:space="preserve">pyproject.toml:L9</t>
  </si>
  <si>
    <t xml:space="preserve">https://github.com/spencerwon/navanax1/blob/feat/phase0-ingestion/pyproject.toml#L9</t>
  </si>
  <si>
    <t xml:space="preserve">tests/selftest.py::test_roundtrip_and_verbatim</t>
  </si>
  <si>
    <t xml:space="preserve">orchestrator, after `ruff --fix` rewrote timezone.utc to datetime.UTC and the target environment was checked</t>
  </si>
  <si>
    <t xml:space="preserve">2026-09-09T08:20:00-05:00</t>
  </si>
  <si>
    <t xml:space="preserve">2026-09-09T08:30:00-05:00</t>
  </si>
  <si>
    <t xml:space="preserve">BUG-20260909-012</t>
  </si>
  <si>
    <t xml:space="preserve">RTL</t>
  </si>
  <si>
    <t xml:space="preserve">Rate limiting</t>
  </si>
  <si>
    <t xml:space="preserve">One 429 permanently bricks the REST governor; server_reset_at is parsed and never read</t>
  </si>
  <si>
    <t xml:space="preserve">The recovery path requires the very resource the failure removes. server_reset_at is parsed at governor.py:150 and read nowhere.</t>
  </si>
  <si>
    <t xml:space="preserve">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</si>
  <si>
    <t xml:space="preserve">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</si>
  <si>
    <t xml:space="preserve">No test ever sent a 429 followed by a recovery attempt.</t>
  </si>
  <si>
    <t xml:space="preserve">src/navanax/governor.py:L166  ·  src/navanax/governor.py:L150</t>
  </si>
  <si>
    <t xml:space="preserve">https://github.com/spencerwon/navanax1/blob/feat/phase0-ingestion/src/navanax/governor.py#L166 https://github.com/spencerwon/navanax1/blob/feat/phase0-ingestion/src/navanax/governor.py#L150</t>
  </si>
  <si>
    <t xml:space="preserve">tests/selftest.py::test_governor_recovers_from_a_429</t>
  </si>
  <si>
    <t xml:space="preserve">validator agent (opus), first review; re-confirmed and escalated in the second</t>
  </si>
  <si>
    <t xml:space="preserve">2026-09-09T11:20:00-05:00</t>
  </si>
  <si>
    <t xml:space="preserve">BUG-20260909-013</t>
  </si>
  <si>
    <t xml:space="preserve">Every gap is recorded backfillable=True even for event classes REQ-D-09a says are permanently unrecoverable</t>
  </si>
  <si>
    <t xml:space="preserve">The classification exists as data and was never wired to the code that records gaps. No backfill queue exists yet at all.</t>
  </si>
  <si>
    <t xml:space="preserve">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</si>
  <si>
    <t xml:space="preserve">`_gap_classes()`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</si>
  <si>
    <t xml:space="preserve">Nothing asserts that a recorded gap's backfillable flag matches the event classes it actually spans.</t>
  </si>
  <si>
    <t xml:space="preserve">REQ-D-09a</t>
  </si>
  <si>
    <t xml:space="preserve">src/navanax/stream.py:L436</t>
  </si>
  <si>
    <t xml:space="preserve">https://github.com/spencerwon/navanax1/blob/feat/phase0-ingestion/src/navanax/stream.py#L436</t>
  </si>
  <si>
    <t xml:space="preserve">tests/selftest.py::test_gaps_are_labelled_by_what_can_actually_be_recovered</t>
  </si>
  <si>
    <t xml:space="preserve">validator agent (opus), first review; escalated in the second</t>
  </si>
  <si>
    <t xml:space="preserve">BUG-20260909-014</t>
  </si>
  <si>
    <t xml:space="preserve">BUG-003's 5x rate-limit error survived in three operator-facing artifacts</t>
  </si>
  <si>
    <t xml:space="preserve">The fix corrected the docs and the config and stopped at the boundary of what the developer reads.</t>
  </si>
  <si>
    <t xml:space="preserve">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</si>
  <si>
    <t xml:space="preserve">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</si>
  <si>
    <t xml:space="preserve">No check scanned operator-facing text for superseded numbers. There is one now.</t>
  </si>
  <si>
    <t xml:space="preserve">tools/preflight.py:L129  ·  README.md:L33  ·  setup.command:L48</t>
  </si>
  <si>
    <t xml:space="preserve">https://github.com/spencerwon/navanax1/blob/feat/phase0-ingestion/tools/preflight.py#L129 https://github.com/spencerwon/navanax1/blob/feat/phase0-ingestion/README.md#L33 https://github.com/spencerwon/navanax1/blob/feat/phase0-ingestion/setup.command#L48</t>
  </si>
  <si>
    <t xml:space="preserve">tests/selftest.py::test_no_superseded_rate_limit_in_operator_text</t>
  </si>
  <si>
    <t xml:space="preserve">validator agent (opus), first review</t>
  </si>
  <si>
    <t xml:space="preserve">2026-09-09T10:05:00-05:00</t>
  </si>
  <si>
    <t xml:space="preserve">BUG-20260909-015</t>
  </si>
  <si>
    <t xml:space="preserve">P2</t>
  </si>
  <si>
    <t xml:space="preserve">This phase</t>
  </si>
  <si>
    <t xml:space="preserve">config/base.yaml rest_budget was parsed by nothing; the governor hardcoded capacity</t>
  </si>
  <si>
    <t xml:space="preserve">REQ-N-09 says no threshold lives in code. It did.</t>
  </si>
  <si>
    <t xml:space="preserve">None directly. But a config block nothing reads looks like a knob and turns nothing -- an operator changing capacity would see no effect and no error.</t>
  </si>
  <si>
    <t xml:space="preserve">governor_from_config() reads rest_budget.capacity, per_seconds and the reserve floors, and raises on an unknown priority name rather than ignoring it -- a silently ignored config key is how a knob comes to turn nothing.</t>
  </si>
  <si>
    <t xml:space="preserve">No check asserted that every config key is read by something. reconciliation/analytical/display are still unread; they belong to subsystems that do not exist yet.</t>
  </si>
  <si>
    <t xml:space="preserve">REQ-N-09</t>
  </si>
  <si>
    <t xml:space="preserve">config/base.yaml:L22  ·  src/navanax/governor.py:L84</t>
  </si>
  <si>
    <t xml:space="preserve">https://github.com/spencerwon/navanax1/blob/feat/phase0-ingestion/config/base.yaml#L22 https://github.com/spencerwon/navanax1/blob/feat/phase0-ingestion/src/navanax/governor.py#L84</t>
  </si>
  <si>
    <t xml:space="preserve">tests/selftest.py::test_rest_budget_config_is_actually_read</t>
  </si>
  <si>
    <t xml:space="preserve">BUG-20260909-016</t>
  </si>
  <si>
    <t xml:space="preserve">P3</t>
  </si>
  <si>
    <t xml:space="preserve">Governor priority queue is dead code; ordering is emergent from reserve floors</t>
  </si>
  <si>
    <t xml:space="preserve">Dead code that implies capability.</t>
  </si>
  <si>
    <t xml:space="preserve">MAINTENANCE can beat an earlier INTERACTIVE request. _Waiter/_waiters/_seq are never appended to, so they read as an implemented feature that does not exist.</t>
  </si>
  <si>
    <t xml:space="preserve">`_Waiter`,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</si>
  <si>
    <t xml:space="preserve">No test asserts ordering between priorities under contention.</t>
  </si>
  <si>
    <t xml:space="preserve">src/navanax/governor.py:L175</t>
  </si>
  <si>
    <t xml:space="preserve">https://github.com/spencerwon/navanax1/blob/feat/phase0-ingestion/src/navanax/governor.py#L175</t>
  </si>
  <si>
    <t xml:space="preserve">tests/selftest.py::test_dead_priority_queue_is_gone</t>
  </si>
  <si>
    <t xml:space="preserve">BUG-20260909-017</t>
  </si>
  <si>
    <t xml:space="preserve">TMP</t>
  </si>
  <si>
    <t xml:space="preserve">Temporal / bitemporal</t>
  </si>
  <si>
    <t xml:space="preserve">An event with no parseable event_timestamp lands silently and drops out of manifest-driven range queries</t>
  </si>
  <si>
    <t xml:space="preserve">extract_event_timestamp returns None and the caller treats that as ordinary.</t>
  </si>
  <si>
    <t xml:space="preserve">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</si>
  <si>
    <t xml:space="preserve">`stats.missing_event_ts`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</si>
  <si>
    <t xml:space="preserve">No counter, no alert, no test for the missing-timestamp rate.</t>
  </si>
  <si>
    <t xml:space="preserve">REQ-D-07</t>
  </si>
  <si>
    <t xml:space="preserve">src/navanax/stream.py:L214  ·  src/navanax/landing.py:L174</t>
  </si>
  <si>
    <t xml:space="preserve">https://github.com/spencerwon/navanax1/blob/feat/phase0-ingestion/src/navanax/stream.py#L214 https://github.com/spencerwon/navanax1/blob/feat/phase0-ingestion/src/navanax/landing.py#L174</t>
  </si>
  <si>
    <t xml:space="preserve">tests/selftest.py::test_missing_event_timestamp_is_counted</t>
  </si>
  <si>
    <t xml:space="preserve">validator agent (opus), first review; manifestation changed by the V2 fix</t>
  </si>
  <si>
    <t xml:space="preserve">BUG-20260909-018</t>
  </si>
  <si>
    <t xml:space="preserve">INF</t>
  </si>
  <si>
    <t xml:space="preserve">Infrastructure</t>
  </si>
  <si>
    <t xml:space="preserve">A landing-zone write failure (disk full) is misrecorded as a stream gap and retried forever</t>
  </si>
  <si>
    <t xml:space="preserve">One handler for two unrelated failure domains: the remote connection and the local filesystem.</t>
  </si>
  <si>
    <t xml:space="preserve">run()'s except Exception catches anything, including an OSError from the writer, opens a gap blaming the stream, and reconnects. On a full disk this loops forever recording gaps it cannot write, and the gap register blames OpenSea for a local failure.</t>
  </si>
  <si>
    <t xml:space="preserve">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</si>
  <si>
    <t xml:space="preserve">No test injects a writer failure.</t>
  </si>
  <si>
    <t xml:space="preserve">src/navanax/stream.py:L519</t>
  </si>
  <si>
    <t xml:space="preserve">https://github.com/spencerwon/navanax1/blob/feat/phase0-ingestion/src/navanax/stream.py#L519</t>
  </si>
  <si>
    <t xml:space="preserve">tests/selftest.py::test_disk_failure_is_not_blamed_on_the_stream</t>
  </si>
  <si>
    <t xml:space="preserve">BUG-20260909-019</t>
  </si>
  <si>
    <t xml:space="preserve">08:35:00</t>
  </si>
  <si>
    <t xml:space="preserve">CI's pytest step collects zero tests and exits 5, so the pipeline cannot go green</t>
  </si>
  <si>
    <t xml:space="preserve">testpaths = ["tests"], and tests/ contains only selftest.py, which matches neither test_*.py nor *_test.py. pytest exits 5 on nothing collected.</t>
  </si>
  <si>
    <t xml:space="preserve">None to data. But the buglog --check gate the ledger leans on sits AFTER this step, so the gate that makes the bug log load-bearing never ran. A CI pipeline that cannot go green teaches everyone to ignore CI.</t>
  </si>
  <si>
    <t xml:space="preserve">CI tolerates exit code 5 explicitly, with a comment saying selftest.py is the real suite and pytest is scaffolding for later.</t>
  </si>
  <si>
    <t xml:space="preserve">The CI file was written but the full pipeline was never run end to end -- only the first step was.</t>
  </si>
  <si>
    <t xml:space="preserve">.github/workflows/ci.yml:L1</t>
  </si>
  <si>
    <t xml:space="preserve">https://github.com/spencerwon/navanax1/blob/feat/phase0-ingestion/.github/workflows/ci.yml#L1</t>
  </si>
  <si>
    <t xml:space="preserve">CI itself</t>
  </si>
  <si>
    <t xml:space="preserve">validator agent (opus), second review</t>
  </si>
  <si>
    <t xml:space="preserve">2026-09-09T08:35:00-05:00</t>
  </si>
  <si>
    <t xml:space="preserve">2026-09-09T08:40:00-05:00</t>
  </si>
  <si>
    <t xml:space="preserve">BUG-20260909-020</t>
  </si>
  <si>
    <t xml:space="preserve">08:05:00</t>
  </si>
  <si>
    <t xml:space="preserve">verify_manifest still could not detect a decoder returning a prefix of an intact file</t>
  </si>
  <si>
    <t xml:space="preserve">Both halves of the detector existed in the same file and nothing compared them.</t>
  </si>
  <si>
    <t xml:space="preserve">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</si>
  <si>
    <t xml:space="preserve">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</si>
  <si>
    <t xml:space="preserve">The audit checked the property that was easy to check, not the one that had already gone wrong once.</t>
  </si>
  <si>
    <t xml:space="preserve">src/navanax/landing.py:L608</t>
  </si>
  <si>
    <t xml:space="preserve">https://github.com/spencerwon/navanax1/blob/feat/phase0-ingestion/src/navanax/landing.py#L608</t>
  </si>
  <si>
    <t xml:space="preserve">tests/selftest.py::test_verify_detects_decoder_truncation</t>
  </si>
  <si>
    <t xml:space="preserve">2026-09-09T08:05:00-05:00</t>
  </si>
  <si>
    <t xml:space="preserve">2026-09-09T09:40:00-05:00</t>
  </si>
  <si>
    <t xml:space="preserve">BUG-20260909-021</t>
  </si>
  <si>
    <t xml:space="preserve">BUG-005's fix made control frames count as market events in the manifest</t>
  </si>
  <si>
    <t xml:space="preserve">Landing control frames was right; routing them through the same counter was not.</t>
  </si>
  <si>
    <t xml:space="preserve">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</si>
  <si>
    <t xml:space="preserve">FileRecord gained control_count; write() gained control=True; files_for_event_range excludes files with event_count == 0.</t>
  </si>
  <si>
    <t xml:space="preserve">No test asserted what a manifest says after a subscription failure -- only after a successful one.</t>
  </si>
  <si>
    <t xml:space="preserve">src/navanax/landing.py:L310  ·  src/navanax/stream.py:L416</t>
  </si>
  <si>
    <t xml:space="preserve">https://github.com/spencerwon/navanax1/blob/feat/phase0-ingestion/src/navanax/landing.py#L310 https://github.com/spencerwon/navanax1/blob/feat/phase0-ingestion/src/navanax/stream.py#L416</t>
  </si>
  <si>
    <t xml:space="preserve">tests/selftest.py::test_control_frames_do_not_inflate_event_count</t>
  </si>
  <si>
    <t xml:space="preserve">BUG-20260909-022</t>
  </si>
  <si>
    <t xml:space="preserve">Manifest read-modify-write had no cross-process lock; concurrent writers silently lost gap records</t>
  </si>
  <si>
    <t xml:space="preserve">An in-process lock guarding an inter-process critical section.</t>
  </si>
  <si>
    <t xml:space="preserve">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</si>
  <si>
    <t xml:space="preserve">fcntl.flock on _manifest/.manifest.lock around every read-modify-write, plus a single-instance guard in cli.py that refuses a second ingest against the same landing zone. Tech-lead re-measured with four real PROCESSES (the shipped test uses threads): 600 written, 600 held, 0 lost.</t>
  </si>
  <si>
    <t xml:space="preserve">No test ran two writers against one root at all.</t>
  </si>
  <si>
    <t xml:space="preserve">src/navanax/landing.py:L116  ·  src/navanax/cli.py:L51</t>
  </si>
  <si>
    <t xml:space="preserve">https://github.com/spencerwon/navanax1/blob/feat/phase0-ingestion/src/navanax/landing.py#L116 https://github.com/spencerwon/navanax1/blob/feat/phase0-ingestion/src/navanax/cli.py#L51</t>
  </si>
  <si>
    <t xml:space="preserve">tests/selftest.py::test_concurrent_manifest_writes_lose_nothing</t>
  </si>
  <si>
    <t xml:space="preserve">validator agent (opus), second review; cross-process claim independently re-measured by tech-lead</t>
  </si>
  <si>
    <t xml:space="preserve">BUG-20260909-023</t>
  </si>
  <si>
    <t xml:space="preserve">09:50:00</t>
  </si>
  <si>
    <t xml:space="preserve">A live gap was filed under one day and never recorded when it ended; only the restart path was fixed</t>
  </si>
  <si>
    <t xml:space="preserve">The fix's own regression test called record_gap with BOTH endpoints known, which production never does. It proved the helper, not the path. That is the tech-lead charter's blocking criterion "a test whose assertion would pass against a broken implementation", applied to the author.</t>
  </si>
  <si>
    <t xml:space="preserve">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</si>
  <si>
    <t xml:space="preserve">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</si>
  <si>
    <t xml:space="preserve">The test exercised a pure helper. Nothing drove _open_gap and _close_gap, which are the only ways a gap is created in production.</t>
  </si>
  <si>
    <t xml:space="preserve">src/navanax/stream.py:L486  ·  src/navanax/landing.py:L447</t>
  </si>
  <si>
    <t xml:space="preserve">https://github.com/spencerwon/navanax1/blob/feat/phase0-ingestion/src/navanax/stream.py#L486 https://github.com/spencerwon/navanax1/blob/feat/phase0-ingestion/src/navanax/landing.py#L447</t>
  </si>
  <si>
    <t xml:space="preserve">tests/selftest.py::test_gap_spans_every_day_through_the_consumer_path</t>
  </si>
  <si>
    <t xml:space="preserve">tech-lead agent (opus), gate review -- caught what the validator and the author both missed</t>
  </si>
  <si>
    <t xml:space="preserve">tech-lead</t>
  </si>
  <si>
    <t xml:space="preserve">2026-09-09T09:50:00-05:00</t>
  </si>
  <si>
    <t xml:space="preserve">2026-09-09T10:10:00-05:00</t>
  </si>
  <si>
    <t xml:space="preserve">BUG-20260909-024</t>
  </si>
  <si>
    <t xml:space="preserve">A chance frame-magic inside compressed data could silently truncate a file if the zstd binding returned partial data</t>
  </si>
  <si>
    <t xml:space="preserve">A correctness property left resting on undocumented third-party behaviour -- the same class as BUG-010, one layer down.</t>
  </si>
  <si>
    <t xml:space="preserve">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</si>
  <si>
    <t xml:space="preserve">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</si>
  <si>
    <t xml:space="preserve">zstandard cannot be installed in the sandbox this is written in, so the production codec has no local coverage by construction. The startup gate exists because the test suite structurally cannot run there.</t>
  </si>
  <si>
    <t xml:space="preserve">src/navanax/codec.py:L171  ·  src/navanax/codec.py:L366</t>
  </si>
  <si>
    <t xml:space="preserve">https://github.com/spencerwon/navanax1/blob/feat/phase0-ingestion/src/navanax/codec.py#L171 https://github.com/spencerwon/navanax1/blob/feat/phase0-ingestion/src/navanax/codec.py#L366</t>
  </si>
  <si>
    <t xml:space="preserve">BUG-20260909-025</t>
  </si>
  <si>
    <t xml:space="preserve">Join rejections re-opened a gap on every reconnect; measured 4,000 open gaps and 89.6s of fsync inside the event loop</t>
  </si>
  <si>
    <t xml:space="preserve">A per-event action attached to a per-connection event.</t>
  </si>
  <si>
    <t xml:space="preserve">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</si>
  <si>
    <t xml:space="preserve">One open gap per topic, retracted the moment that topic joins successfully -- in the manifest as well as the register, since asserting a hole that does not exist is its own kind of wrong.</t>
  </si>
  <si>
    <t xml:space="preserve">No test reconnected more than once.</t>
  </si>
  <si>
    <t xml:space="preserve">src/navanax/stream.py:L291</t>
  </si>
  <si>
    <t xml:space="preserve">https://github.com/spencerwon/navanax1/blob/feat/phase0-ingestion/src/navanax/stream.py#L291</t>
  </si>
  <si>
    <t xml:space="preserve">tests/selftest.py::test_rejection_gap_is_not_reopened_every_reconnect</t>
  </si>
  <si>
    <t xml:space="preserve">BUG-20260909-026</t>
  </si>
  <si>
    <t xml:space="preserve">stats.heartbeats was always 0 in production; the test fixture asserted the frame we SEND, not the one the server sends</t>
  </si>
  <si>
    <t xml:space="preserve">The fixture was written from the sending side of the protocol.</t>
  </si>
  <si>
    <t xml:space="preserve">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</si>
  <si>
    <t xml:space="preserve">phx_reply on topic phoenix is counted as a heartbeat; the fixture now uses the frame the server actually sends, and the frame we send is still tolerated.</t>
  </si>
  <si>
    <t xml:space="preserve">No real captured frame was ever used in a test. tools/sample_frames.jsonl exists for this and is not yet wired in.</t>
  </si>
  <si>
    <t xml:space="preserve">src/navanax/stream.py:L232</t>
  </si>
  <si>
    <t xml:space="preserve">https://github.com/spencerwon/navanax1/blob/feat/phase0-ingestion/src/navanax/stream.py#L232</t>
  </si>
  <si>
    <t xml:space="preserve">tests/selftest.py::test_stream_parsing</t>
  </si>
  <si>
    <t xml:space="preserve">BUG-20260909-027</t>
  </si>
  <si>
    <t xml:space="preserve">Ingest refused to start on any filesystem without flock, reporting a second instance that did not exist</t>
  </si>
  <si>
    <t xml:space="preserve">One handler for two unrelated errnos: contention and unsupported.</t>
  </si>
  <si>
    <t xml:space="preserve">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</si>
  <si>
    <t xml:space="preserve">EWOULDBLOCK/EAGAIN refuse; EOPNOTSUPP/ENOLCK/EINVAL/ENOSYS proceed with a loud, accurate warning that names the real risk.</t>
  </si>
  <si>
    <t xml:space="preserve">The guard was tested only on the filesystem it was written on.</t>
  </si>
  <si>
    <t xml:space="preserve">src/navanax/cli.py:L64</t>
  </si>
  <si>
    <t xml:space="preserve">https://github.com/spencerwon/navanax1/blob/feat/phase0-ingestion/src/navanax/cli.py#L64</t>
  </si>
  <si>
    <t xml:space="preserve">tests/selftest.py::test_single_instance_degrades_on_unsupported_filesystem</t>
  </si>
  <si>
    <t xml:space="preserve">tech-lead agent (opus), gate review</t>
  </si>
  <si>
    <t xml:space="preserve">BUG-20260909-028</t>
  </si>
  <si>
    <t xml:space="preserve">10:30:00</t>
  </si>
  <si>
    <t xml:space="preserve">The falsified 600/hr figure survived, unqualified, in five agent charters -- and BUG-014's own test could not see them</t>
  </si>
  <si>
    <t xml:space="preserve">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</si>
  <si>
    <t xml:space="preserve">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</si>
  <si>
    <t xml:space="preserve">All five charters corrected to 120 with provenance and the cache-HIT caveat. The scan is now repo-wide -- every tracked text file, the way tools/buglog.py already scans for bug ids -- excluding only the bug log itself, whose job is to record the wrong number.</t>
  </si>
  <si>
    <t xml:space="preserve">A check with a hardcoded scope, described in the ledger as having universal scope. The description is the part that did the damage: it converted an unexamined gap into a settled question.</t>
  </si>
  <si>
    <t xml:space="preserve">tester</t>
  </si>
  <si>
    <t xml:space="preserve">.claude/agents/data-engineer.md:L18  ·  .claude/agents/research.md:L18  ·  .claude/agents/orchestrator.md:L47  ·  .claude/agents/build-reporter.md:L31  ·  .claude/agents/docs-explainer.md:L23</t>
  </si>
  <si>
    <t xml:space="preserve">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</si>
  <si>
    <t xml:space="preserve">qa-auditor agent (sonnet), first run -- reconciling session claims against the repo</t>
  </si>
  <si>
    <t xml:space="preserve">qa-auditor</t>
  </si>
  <si>
    <t xml:space="preserve">2026-09-09T10:30:00-05:00</t>
  </si>
  <si>
    <t xml:space="preserve">2026-09-09T10:45:00-05:00</t>
  </si>
  <si>
    <t xml:space="preserve">BUG-20260909-029</t>
  </si>
  <si>
    <t xml:space="preserve">11:40:00</t>
  </si>
  <si>
    <t xml:space="preserve">config/base.yaml said the governor reads x-ratelimit-limit and adapts; nothing read it</t>
  </si>
  <si>
    <t xml:space="preserve">The config comment was written from the design, not from the code.</t>
  </si>
  <si>
    <t xml:space="preserve">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</si>
  <si>
    <t xml:space="preserve">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</si>
  <si>
    <t xml:space="preserve">No test asserted that any header changed capacity. The qa-auditor's numbers check compares values, not claimed mechanisms.</t>
  </si>
  <si>
    <t xml:space="preserve">config/base.yaml:L22  ·  src/navanax/governor.py:L169</t>
  </si>
  <si>
    <t xml:space="preserve">https://github.com/spencerwon/navanax1/blob/tester/config/base.yaml#L22 https://github.com/spencerwon/navanax1/blob/tester/src/navanax/governor.py#L169</t>
  </si>
  <si>
    <t xml:space="preserve">tests/selftest.py::test_governor_adapts_capacity_from_server</t>
  </si>
  <si>
    <t xml:space="preserve">tech-lead agent (opus), third gate review</t>
  </si>
  <si>
    <t xml:space="preserve">2026-09-09T11:40:00-05:00</t>
  </si>
  <si>
    <t xml:space="preserve">2026-09-09T12:00:00-05:00</t>
  </si>
  <si>
    <t xml:space="preserve">BUG-20260909-030</t>
  </si>
  <si>
    <t xml:space="preserve">BUG-012's fix discarded a truthful "remaining 0" reported on a successful response</t>
  </si>
  <si>
    <t xml:space="preserve">One field carried two meanings -- a ceiling WE imposed after a 429, and one the SERVER reported -- and the fix lifted both. The first attempt at fixing this made the block expiry do the same thing, which the pre-existing test caught.</t>
  </si>
  <si>
    <t xml:space="preserve">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</si>
  <si>
    <t xml:space="preserve">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</si>
  <si>
    <t xml:space="preserve">BUG-012's test asserted recovery and never asserted that the server's own 'no' was still honoured.</t>
  </si>
  <si>
    <t xml:space="preserve">src/navanax/governor.py:L217  ·  src/navanax/governor.py:L360</t>
  </si>
  <si>
    <t xml:space="preserve">https://github.com/spencerwon/navanax1/blob/tester/src/navanax/governor.py#L217 https://github.com/spencerwon/navanax1/blob/tester/src/navanax/governor.py#L360</t>
  </si>
  <si>
    <t xml:space="preserve">tests/selftest.py::test_truthful_zero_remaining_is_not_discarded</t>
  </si>
  <si>
    <t xml:space="preserve">tech-lead agent (opus), third gate review; the pre-existing 'server header caps local optimism' assertion caught the first attempt at the fix</t>
  </si>
  <si>
    <t xml:space="preserve">BUG-20260909-031</t>
  </si>
  <si>
    <t xml:space="preserve">BUG-013 redefined backfillable and made the backfill worklist permanently empty</t>
  </si>
  <si>
    <t xml:space="preserve">A field's meaning changed and one of its readers was not revisited.</t>
  </si>
  <si>
    <t xml:space="preserve">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</si>
  <si>
    <t xml:space="preserve">The gap register now carries backfillable_classes and irrecoverable_classes (with an in-place migration for existing stores). unbackfilled_gaps() returns closed, un-backfilled gaps with at least one recoverable class -- the question a backfiller actually asks.</t>
  </si>
  <si>
    <t xml:space="preserve">No test asserted what `navanax status` shows after a real reconnect gap.</t>
  </si>
  <si>
    <t xml:space="preserve">src/navanax/opstore.py:L208  ·  src/navanax/cli.py:L194</t>
  </si>
  <si>
    <t xml:space="preserve">https://github.com/spencerwon/navanax1/blob/tester/src/navanax/opstore.py#L208 https://github.com/spencerwon/navanax1/blob/tester/src/navanax/cli.py#L194</t>
  </si>
  <si>
    <t xml:space="preserve">tests/selftest.py::test_backfill_worklist_is_not_vacuous</t>
  </si>
  <si>
    <t xml:space="preserve">BUG-20260909-032</t>
  </si>
  <si>
    <t xml:space="preserve">12:10:00</t>
  </si>
  <si>
    <t xml:space="preserve">First real-zstandard CI run turned the codec gate red -- the gate's "last frame" heuristic assumed gzip's writer behaviour, and the frame walk still guessed boundaries by magic scanning</t>
  </si>
  <si>
    <t xml:space="preserve">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</si>
  <si>
    <t xml:space="preserve">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</si>
  <si>
    <t xml:space="preserve">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</si>
  <si>
    <t xml:space="preserve">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t>
  </si>
  <si>
    <t xml:space="preserve">src/navanax/codec.py:L150  ·  src/navanax/codec.py:L168  ·  src/navanax/codec.py:L300</t>
  </si>
  <si>
    <t xml:space="preserve">https://github.com/spencerwon/navanax1/blob/tester/src/navanax/codec.py#L150 https://github.com/spencerwon/navanax1/blob/tester/src/navanax/codec.py#L168 https://github.com/spencerwon/navanax1/blob/tester/src/navanax/codec.py#L300</t>
  </si>
  <si>
    <t xml:space="preserve">tests/selftest.py::test_startup_gate_refuses_a_lying_codec</t>
  </si>
  <si>
    <t xml:space="preserve">GitHub Actions CI on the tester branch -- the first time the production codec was ever executed by anything</t>
  </si>
  <si>
    <t xml:space="preserve">2026-09-09T12:10:00-05:00</t>
  </si>
  <si>
    <t xml:space="preserve">2026-09-09T12:40:00-05:00</t>
  </si>
  <si>
    <t xml:space="preserve">#2</t>
  </si>
  <si>
    <t xml:space="preserve">Error hierarchy -- docs/05_BUG_TAXONOMY.md §2</t>
  </si>
  <si>
    <t xml:space="preserve">Severity is about CONSEQUENCE, not effort. It decides what stops. Priority is derived from severity and from whether data is actively being lost while the bug is open.</t>
  </si>
  <si>
    <t xml:space="preserve">Means</t>
  </si>
  <si>
    <t xml:space="preserve">Open now</t>
  </si>
  <si>
    <t xml:space="preserve">Total</t>
  </si>
  <si>
    <t xml:space="preserve">S0a</t>
  </si>
  <si>
    <t xml:space="preserve">Data corruption</t>
  </si>
  <si>
    <t xml:space="preserve">HALT INGESTION</t>
  </si>
  <si>
    <t xml:space="preserve">S0b</t>
  </si>
  <si>
    <t xml:space="preserve">Backtest integrity</t>
  </si>
  <si>
    <t xml:space="preserve">HALT BACKTESTS</t>
  </si>
  <si>
    <t xml:space="preserve">Error class</t>
  </si>
  <si>
    <t xml:space="preserve">NRM</t>
  </si>
  <si>
    <t xml:space="preserve">Normalisation</t>
  </si>
  <si>
    <t xml:space="preserve">STA</t>
  </si>
  <si>
    <t xml:space="preserve">Statistics</t>
  </si>
  <si>
    <t xml:space="preserve">SEC</t>
  </si>
  <si>
    <t xml:space="preserve">Security</t>
  </si>
  <si>
    <t xml:space="preserve">This spreadsheet is GENERATED. Do not edit it -- edits are overwritten.</t>
  </si>
  <si>
    <t xml:space="preserve">Source of truth   docs/logs/bugs.yaml</t>
  </si>
  <si>
    <t xml:space="preserve">Generator         tools/buglog.py</t>
  </si>
  <si>
    <t xml:space="preserve">Narrative log     docs/logs/BUGS.md  (the long-form detail per bug)</t>
  </si>
  <si>
    <t xml:space="preserve">Owner             the `bug-triage` agent</t>
  </si>
  <si>
    <t xml:space="preserve">Regenerate:   python3 tools/buglog.py</t>
  </si>
  <si>
    <t xml:space="preserve">CI gate:      python3 tools/buglog.py --check</t>
  </si>
  <si>
    <t xml:space="preserve">--check fails the build if:</t>
  </si>
  <si>
    <t xml:space="preserve">  · a bug is in the ledger but not in BUGS.md, or the reverse</t>
  </si>
  <si>
    <t xml:space="preserve">  · a `locations` file does not exist in the repo</t>
  </si>
  <si>
    <t xml:space="preserve">  · a bug is marked fixed but names no regression test</t>
  </si>
  <si>
    <t xml:space="preserve">  · a named regression test function does not exist in the test file</t>
  </si>
  <si>
    <t xml:space="preserve">That last one is the point. 'Fixed' without a test that fails against</t>
  </si>
  <si>
    <t xml:space="preserve">the old code is a claim, not a fix -- and five of the bugs in this log</t>
  </si>
  <si>
    <t xml:space="preserve">were found in code that was 66/66 green.</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</si>
</sst>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name val="Arial"/>
      <family val="0"/>
      <charset val="1"/>
    </font>
    <font>
      <sz val="10"/>
      <name val="Arial"/>
      <family val="0"/>
      <charset val="1"/>
    </font>
    <font>
      <sz val="9"/>
      <name val="Arial"/>
      <family val="0"/>
      <charset val="1"/>
    </font>
    <font>
      <u val="single"/>
      <sz val="9"/>
      <color rgb="FF0563C1"/>
      <name val="Arial"/>
      <family val="0"/>
      <charset val="1"/>
    </font>
    <font>
      <b val="true"/>
      <sz val="12"/>
      <name val="Arial"/>
      <family val="0"/>
      <charset val="1"/>
    </font>
    <font>
      <i val="true"/>
      <sz val="10"/>
      <name val="Arial"/>
      <family val="0"/>
      <charset val="1"/>
    </font>
    <font>
      <b val="true"/>
      <sz val="11"/>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E36C0A"/>
        <bgColor rgb="FFC55A11"/>
      </patternFill>
    </fill>
    <fill>
      <patternFill patternType="solid">
        <fgColor rgb="FFC6EFCE"/>
        <bgColor rgb="FFD9D9D9"/>
      </patternFill>
    </fill>
    <fill>
      <patternFill patternType="solid">
        <fgColor rgb="FF7F7F7F"/>
        <bgColor rgb="FF666699"/>
      </patternFill>
    </fill>
    <fill>
      <patternFill patternType="solid">
        <fgColor rgb="FFA6A6A6"/>
        <bgColor rgb="FFC0C0C0"/>
      </patternFill>
    </fill>
    <fill>
      <patternFill patternType="solid">
        <fgColor rgb="FFBF8F00"/>
        <bgColor rgb="FFE36C0A"/>
      </patternFill>
    </fill>
    <fill>
      <patternFill patternType="solid">
        <fgColor rgb="FFC00000"/>
        <bgColor rgb="FF800000"/>
      </patternFill>
    </fill>
    <fill>
      <patternFill patternType="solid">
        <fgColor rgb="FFC55A11"/>
        <bgColor rgb="FFE36C0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3"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4" fillId="5" borderId="1" xfId="0" applyFont="true" applyBorder="true" applyAlignment="true" applyProtection="false">
      <alignment horizontal="center" vertical="top" textRotation="0" wrapText="false" indent="0" shrinkToFit="false"/>
      <protection locked="true" hidden="false"/>
    </xf>
    <xf numFmtId="164" fontId="4" fillId="6" borderId="1" xfId="0" applyFont="true" applyBorder="true" applyAlignment="true" applyProtection="false">
      <alignment horizontal="center" vertical="top" textRotation="0" wrapText="false" indent="0" shrinkToFit="false"/>
      <protection locked="true" hidden="false"/>
    </xf>
    <xf numFmtId="164" fontId="4" fillId="7" borderId="1" xfId="0" applyFont="true" applyBorder="true" applyAlignment="true" applyProtection="false">
      <alignment horizontal="center"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8"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7"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7F7F7F"/>
          <bgColor rgb="FF000000"/>
        </patternFill>
      </fill>
    </dxf>
    <dxf>
      <fill>
        <patternFill patternType="solid">
          <fgColor rgb="FFA6A6A6"/>
          <bgColor rgb="FF000000"/>
        </patternFill>
      </fill>
    </dxf>
    <dxf>
      <fill>
        <patternFill patternType="solid">
          <fgColor rgb="FFBF8F00"/>
          <bgColor rgb="FF000000"/>
        </patternFill>
      </fill>
    </dxf>
    <dxf>
      <fill>
        <patternFill patternType="solid">
          <fgColor rgb="FFE36C0A"/>
          <bgColor rgb="FF000000"/>
        </patternFill>
      </fill>
    </dxf>
    <dxf>
      <fill>
        <patternFill patternType="solid">
          <fgColor rgb="FFC6EFCE"/>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BF8F00"/>
      <rgbColor rgb="FFE36C0A"/>
      <rgbColor rgb="FF666699"/>
      <rgbColor rgb="FFA6A6A6"/>
      <rgbColor rgb="FF1F3864"/>
      <rgbColor rgb="FF339966"/>
      <rgbColor rgb="FF003300"/>
      <rgbColor rgb="FF333300"/>
      <rgbColor rgb="FFC55A11"/>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BugLog" displayName="BugLog" ref="A1:AA33" headerRowCount="1" totalsRowCount="0" totalsRowShown="0">
  <autoFilter ref="A1:AA33"/>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spencerwon/navanax1/blob/feat/phase0-ingestion/tools/preflight.py" TargetMode="External"/><Relationship Id="rId2" Type="http://schemas.openxmlformats.org/officeDocument/2006/relationships/hyperlink" Target="https://github.com/spencerwon/navanax1/pull/1" TargetMode="External"/><Relationship Id="rId3" Type="http://schemas.openxmlformats.org/officeDocument/2006/relationships/hyperlink" Target="https://github.com/spencerwon/navanax1/blob/feat/phase0-ingestion/src/navanax/stream.py" TargetMode="External"/><Relationship Id="rId4" Type="http://schemas.openxmlformats.org/officeDocument/2006/relationships/hyperlink" Target="https://github.com/spencerwon/navanax1/pull/1" TargetMode="External"/><Relationship Id="rId5" Type="http://schemas.openxmlformats.org/officeDocument/2006/relationships/hyperlink" Target="https://github.com/spencerwon/navanax1/blob/feat/phase0-ingestion/config/base.yaml" TargetMode="External"/><Relationship Id="rId6" Type="http://schemas.openxmlformats.org/officeDocument/2006/relationships/hyperlink" Target="https://github.com/spencerwon/navanax1/pull/1" TargetMode="External"/><Relationship Id="rId7" Type="http://schemas.openxmlformats.org/officeDocument/2006/relationships/hyperlink" Target="https://github.com/spencerwon/navanax1/blob/feat/phase0-ingestion/pyproject.toml" TargetMode="External"/><Relationship Id="rId8" Type="http://schemas.openxmlformats.org/officeDocument/2006/relationships/hyperlink" Target="https://github.com/spencerwon/navanax1/pull/1" TargetMode="External"/><Relationship Id="rId9" Type="http://schemas.openxmlformats.org/officeDocument/2006/relationships/hyperlink" Target="https://github.com/spencerwon/navanax1/blob/feat/phase0-ingestion/src/navanax/stream.py" TargetMode="External"/><Relationship Id="rId10" Type="http://schemas.openxmlformats.org/officeDocument/2006/relationships/hyperlink" Target="https://github.com/spencerwon/navanax1/pull/1" TargetMode="External"/><Relationship Id="rId11" Type="http://schemas.openxmlformats.org/officeDocument/2006/relationships/hyperlink" Target="https://github.com/spencerwon/navanax1/blob/feat/phase0-ingestion/src/navanax/landing.py" TargetMode="External"/><Relationship Id="rId12" Type="http://schemas.openxmlformats.org/officeDocument/2006/relationships/hyperlink" Target="https://github.com/spencerwon/navanax1/pull/1" TargetMode="External"/><Relationship Id="rId13" Type="http://schemas.openxmlformats.org/officeDocument/2006/relationships/hyperlink" Target="https://github.com/spencerwon/navanax1/blob/feat/phase0-ingestion/src/navanax/landing.py" TargetMode="External"/><Relationship Id="rId14" Type="http://schemas.openxmlformats.org/officeDocument/2006/relationships/hyperlink" Target="https://github.com/spencerwon/navanax1/pull/1" TargetMode="External"/><Relationship Id="rId15" Type="http://schemas.openxmlformats.org/officeDocument/2006/relationships/hyperlink" Target="https://github.com/spencerwon/navanax1/blob/feat/phase0-ingestion/src/navanax/stream.py" TargetMode="External"/><Relationship Id="rId16" Type="http://schemas.openxmlformats.org/officeDocument/2006/relationships/hyperlink" Target="https://github.com/spencerwon/navanax1/pull/1" TargetMode="External"/><Relationship Id="rId17" Type="http://schemas.openxmlformats.org/officeDocument/2006/relationships/hyperlink" Target="https://github.com/spencerwon/navanax1/blob/feat/phase0-ingestion/src/navanax/opstore.py" TargetMode="External"/><Relationship Id="rId18" Type="http://schemas.openxmlformats.org/officeDocument/2006/relationships/hyperlink" Target="https://github.com/spencerwon/navanax1/pull/1" TargetMode="External"/><Relationship Id="rId19" Type="http://schemas.openxmlformats.org/officeDocument/2006/relationships/hyperlink" Target="https://github.com/spencerwon/navanax1/blob/feat/phase0-ingestion/src/navanax/codec.py" TargetMode="External"/><Relationship Id="rId20" Type="http://schemas.openxmlformats.org/officeDocument/2006/relationships/hyperlink" Target="https://github.com/spencerwon/navanax1/pull/1" TargetMode="External"/><Relationship Id="rId21" Type="http://schemas.openxmlformats.org/officeDocument/2006/relationships/hyperlink" Target="https://github.com/spencerwon/navanax1/blob/feat/phase0-ingestion/pyproject.toml" TargetMode="External"/><Relationship Id="rId22" Type="http://schemas.openxmlformats.org/officeDocument/2006/relationships/hyperlink" Target="https://github.com/spencerwon/navanax1/pull/1" TargetMode="External"/><Relationship Id="rId23" Type="http://schemas.openxmlformats.org/officeDocument/2006/relationships/hyperlink" Target="https://github.com/spencerwon/navanax1/blob/feat/phase0-ingestion/src/navanax/governor.py" TargetMode="External"/><Relationship Id="rId24" Type="http://schemas.openxmlformats.org/officeDocument/2006/relationships/hyperlink" Target="https://github.com/spencerwon/navanax1/pull/1" TargetMode="External"/><Relationship Id="rId25" Type="http://schemas.openxmlformats.org/officeDocument/2006/relationships/hyperlink" Target="https://github.com/spencerwon/navanax1/blob/feat/phase0-ingestion/src/navanax/stream.py" TargetMode="External"/><Relationship Id="rId26" Type="http://schemas.openxmlformats.org/officeDocument/2006/relationships/hyperlink" Target="https://github.com/spencerwon/navanax1/pull/1" TargetMode="External"/><Relationship Id="rId27" Type="http://schemas.openxmlformats.org/officeDocument/2006/relationships/hyperlink" Target="https://github.com/spencerwon/navanax1/blob/feat/phase0-ingestion/tools/preflight.py" TargetMode="External"/><Relationship Id="rId28" Type="http://schemas.openxmlformats.org/officeDocument/2006/relationships/hyperlink" Target="https://github.com/spencerwon/navanax1/pull/1" TargetMode="External"/><Relationship Id="rId29" Type="http://schemas.openxmlformats.org/officeDocument/2006/relationships/hyperlink" Target="https://github.com/spencerwon/navanax1/blob/feat/phase0-ingestion/config/base.yaml" TargetMode="External"/><Relationship Id="rId30" Type="http://schemas.openxmlformats.org/officeDocument/2006/relationships/hyperlink" Target="https://github.com/spencerwon/navanax1/pull/1" TargetMode="External"/><Relationship Id="rId31" Type="http://schemas.openxmlformats.org/officeDocument/2006/relationships/hyperlink" Target="https://github.com/spencerwon/navanax1/blob/feat/phase0-ingestion/src/navanax/governor.py" TargetMode="External"/><Relationship Id="rId32" Type="http://schemas.openxmlformats.org/officeDocument/2006/relationships/hyperlink" Target="https://github.com/spencerwon/navanax1/pull/1" TargetMode="External"/><Relationship Id="rId33" Type="http://schemas.openxmlformats.org/officeDocument/2006/relationships/hyperlink" Target="https://github.com/spencerwon/navanax1/blob/feat/phase0-ingestion/src/navanax/stream.py" TargetMode="External"/><Relationship Id="rId34" Type="http://schemas.openxmlformats.org/officeDocument/2006/relationships/hyperlink" Target="https://github.com/spencerwon/navanax1/pull/1" TargetMode="External"/><Relationship Id="rId35" Type="http://schemas.openxmlformats.org/officeDocument/2006/relationships/hyperlink" Target="https://github.com/spencerwon/navanax1/blob/feat/phase0-ingestion/src/navanax/stream.py" TargetMode="External"/><Relationship Id="rId36" Type="http://schemas.openxmlformats.org/officeDocument/2006/relationships/hyperlink" Target="https://github.com/spencerwon/navanax1/pull/1" TargetMode="External"/><Relationship Id="rId37" Type="http://schemas.openxmlformats.org/officeDocument/2006/relationships/hyperlink" Target="https://github.com/spencerwon/navanax1/blob/feat/phase0-ingestion/.github/workflows/ci.yml" TargetMode="External"/><Relationship Id="rId38" Type="http://schemas.openxmlformats.org/officeDocument/2006/relationships/hyperlink" Target="https://github.com/spencerwon/navanax1/pull/1" TargetMode="External"/><Relationship Id="rId39" Type="http://schemas.openxmlformats.org/officeDocument/2006/relationships/hyperlink" Target="https://github.com/spencerwon/navanax1/blob/feat/phase0-ingestion/src/navanax/landing.py" TargetMode="External"/><Relationship Id="rId40" Type="http://schemas.openxmlformats.org/officeDocument/2006/relationships/hyperlink" Target="https://github.com/spencerwon/navanax1/pull/1" TargetMode="External"/><Relationship Id="rId41" Type="http://schemas.openxmlformats.org/officeDocument/2006/relationships/hyperlink" Target="https://github.com/spencerwon/navanax1/blob/feat/phase0-ingestion/src/navanax/landing.py" TargetMode="External"/><Relationship Id="rId42" Type="http://schemas.openxmlformats.org/officeDocument/2006/relationships/hyperlink" Target="https://github.com/spencerwon/navanax1/pull/1" TargetMode="External"/><Relationship Id="rId43" Type="http://schemas.openxmlformats.org/officeDocument/2006/relationships/hyperlink" Target="https://github.com/spencerwon/navanax1/blob/feat/phase0-ingestion/src/navanax/landing.py" TargetMode="External"/><Relationship Id="rId44" Type="http://schemas.openxmlformats.org/officeDocument/2006/relationships/hyperlink" Target="https://github.com/spencerwon/navanax1/pull/1" TargetMode="External"/><Relationship Id="rId45" Type="http://schemas.openxmlformats.org/officeDocument/2006/relationships/hyperlink" Target="https://github.com/spencerwon/navanax1/blob/feat/phase0-ingestion/src/navanax/stream.py" TargetMode="External"/><Relationship Id="rId46" Type="http://schemas.openxmlformats.org/officeDocument/2006/relationships/hyperlink" Target="https://github.com/spencerwon/navanax1/pull/1" TargetMode="External"/><Relationship Id="rId47" Type="http://schemas.openxmlformats.org/officeDocument/2006/relationships/hyperlink" Target="https://github.com/spencerwon/navanax1/blob/feat/phase0-ingestion/src/navanax/codec.py" TargetMode="External"/><Relationship Id="rId48" Type="http://schemas.openxmlformats.org/officeDocument/2006/relationships/hyperlink" Target="https://github.com/spencerwon/navanax1/pull/1" TargetMode="External"/><Relationship Id="rId49" Type="http://schemas.openxmlformats.org/officeDocument/2006/relationships/hyperlink" Target="https://github.com/spencerwon/navanax1/blob/feat/phase0-ingestion/src/navanax/stream.py" TargetMode="External"/><Relationship Id="rId50" Type="http://schemas.openxmlformats.org/officeDocument/2006/relationships/hyperlink" Target="https://github.com/spencerwon/navanax1/pull/1" TargetMode="External"/><Relationship Id="rId51" Type="http://schemas.openxmlformats.org/officeDocument/2006/relationships/hyperlink" Target="https://github.com/spencerwon/navanax1/blob/feat/phase0-ingestion/src/navanax/stream.py" TargetMode="External"/><Relationship Id="rId52" Type="http://schemas.openxmlformats.org/officeDocument/2006/relationships/hyperlink" Target="https://github.com/spencerwon/navanax1/pull/1" TargetMode="External"/><Relationship Id="rId53" Type="http://schemas.openxmlformats.org/officeDocument/2006/relationships/hyperlink" Target="https://github.com/spencerwon/navanax1/blob/feat/phase0-ingestion/src/navanax/cli.py" TargetMode="External"/><Relationship Id="rId54" Type="http://schemas.openxmlformats.org/officeDocument/2006/relationships/hyperlink" Target="https://github.com/spencerwon/navanax1/pull/1" TargetMode="External"/><Relationship Id="rId55" Type="http://schemas.openxmlformats.org/officeDocument/2006/relationships/hyperlink" Target="https://github.com/spencerwon/navanax1/blob/tester/.claude/agents/data-engineer.md" TargetMode="External"/><Relationship Id="rId56" Type="http://schemas.openxmlformats.org/officeDocument/2006/relationships/hyperlink" Target="https://github.com/spencerwon/navanax1/pull/1" TargetMode="External"/><Relationship Id="rId57" Type="http://schemas.openxmlformats.org/officeDocument/2006/relationships/hyperlink" Target="https://github.com/spencerwon/navanax1/blob/tester/config/base.yaml" TargetMode="External"/><Relationship Id="rId58" Type="http://schemas.openxmlformats.org/officeDocument/2006/relationships/hyperlink" Target="https://github.com/spencerwon/navanax1/pull/1" TargetMode="External"/><Relationship Id="rId59" Type="http://schemas.openxmlformats.org/officeDocument/2006/relationships/hyperlink" Target="https://github.com/spencerwon/navanax1/blob/tester/src/navanax/governor.py" TargetMode="External"/><Relationship Id="rId60" Type="http://schemas.openxmlformats.org/officeDocument/2006/relationships/hyperlink" Target="https://github.com/spencerwon/navanax1/pull/1" TargetMode="External"/><Relationship Id="rId61" Type="http://schemas.openxmlformats.org/officeDocument/2006/relationships/hyperlink" Target="https://github.com/spencerwon/navanax1/blob/tester/src/navanax/opstore.py" TargetMode="External"/><Relationship Id="rId62" Type="http://schemas.openxmlformats.org/officeDocument/2006/relationships/hyperlink" Target="https://github.com/spencerwon/navanax1/pull/1" TargetMode="External"/><Relationship Id="rId63" Type="http://schemas.openxmlformats.org/officeDocument/2006/relationships/hyperlink" Target="https://github.com/spencerwon/navanax1/blob/tester/src/navanax/codec.py" TargetMode="External"/><Relationship Id="rId64" Type="http://schemas.openxmlformats.org/officeDocument/2006/relationships/hyperlink" Target="https://github.com/spencerwon/navanax1/pull/2" TargetMode="External"/><Relationship Id="rId65"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1"/>
    <col collapsed="false" customWidth="true" hidden="false" outlineLevel="0" max="4" min="4" style="0" width="10"/>
    <col collapsed="false" customWidth="true" hidden="false" outlineLevel="0" max="5" min="5" style="0" width="26"/>
    <col collapsed="false" customWidth="true" hidden="false" outlineLevel="0" max="6" min="6" style="0" width="30"/>
    <col collapsed="false" customWidth="true" hidden="false" outlineLevel="0" max="7" min="7" style="0" width="9"/>
    <col collapsed="false" customWidth="true" hidden="false" outlineLevel="0" max="8" min="8" style="0" width="27"/>
    <col collapsed="false" customWidth="true" hidden="false" outlineLevel="0" max="9" min="9" style="0" width="8"/>
    <col collapsed="false" customWidth="true" hidden="false" outlineLevel="0" max="10" min="10" style="0" width="26"/>
    <col collapsed="false" customWidth="true" hidden="false" outlineLevel="0" max="11" min="11" style="0" width="10"/>
    <col collapsed="false" customWidth="true" hidden="false" outlineLevel="0" max="15" min="12" style="0" width="60"/>
    <col collapsed="false" customWidth="true" hidden="false" outlineLevel="0" max="16" min="16" style="0" width="55"/>
    <col collapsed="false" customWidth="true" hidden="false" outlineLevel="0" max="17" min="17" style="0" width="14"/>
    <col collapsed="false" customWidth="true" hidden="false" outlineLevel="0" max="18" min="18" style="0" width="24"/>
    <col collapsed="false" customWidth="true" hidden="false" outlineLevel="0" max="19" min="19" style="0" width="34"/>
    <col collapsed="false" customWidth="true" hidden="false" outlineLevel="0" max="20" min="20" style="0" width="40"/>
    <col collapsed="false" customWidth="true" hidden="false" outlineLevel="0" max="21" min="21" style="0" width="44"/>
    <col collapsed="false" customWidth="true" hidden="false" outlineLevel="0" max="22" min="22" style="0" width="34"/>
    <col collapsed="false" customWidth="true" hidden="false" outlineLevel="0" max="23" min="23" style="0" width="12"/>
    <col collapsed="false" customWidth="true" hidden="false" outlineLevel="0" max="26" min="24" style="0" width="22"/>
    <col collapsed="false" customWidth="true" hidden="false" outlineLevel="0" max="27" min="27" style="0" width="10"/>
  </cols>
  <sheetData>
    <row r="1" customFormat="false" ht="33.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customFormat="false" ht="120" hidden="false" customHeight="true" outlineLevel="0" collapsed="false">
      <c r="A2" s="2" t="s">
        <v>27</v>
      </c>
      <c r="B2" s="3" t="s">
        <v>28</v>
      </c>
      <c r="C2" s="3" t="s">
        <v>29</v>
      </c>
      <c r="D2" s="4" t="s">
        <v>30</v>
      </c>
      <c r="E2" s="3" t="s">
        <v>31</v>
      </c>
      <c r="F2" s="3" t="s">
        <v>32</v>
      </c>
      <c r="G2" s="3" t="s">
        <v>33</v>
      </c>
      <c r="H2" s="3" t="s">
        <v>34</v>
      </c>
      <c r="I2" s="3" t="s">
        <v>35</v>
      </c>
      <c r="J2" s="3" t="s">
        <v>36</v>
      </c>
      <c r="K2" s="5" t="s">
        <v>37</v>
      </c>
      <c r="L2" s="3" t="s">
        <v>38</v>
      </c>
      <c r="M2" s="3" t="s">
        <v>39</v>
      </c>
      <c r="N2" s="3" t="s">
        <v>40</v>
      </c>
      <c r="O2" s="3" t="s">
        <v>41</v>
      </c>
      <c r="P2" s="3" t="s">
        <v>42</v>
      </c>
      <c r="Q2" s="6" t="s">
        <v>43</v>
      </c>
      <c r="R2" s="3" t="s">
        <v>44</v>
      </c>
      <c r="S2" s="6" t="s">
        <v>45</v>
      </c>
      <c r="T2" s="7" t="s">
        <v>46</v>
      </c>
      <c r="U2" s="6" t="s">
        <v>47</v>
      </c>
      <c r="V2" s="3" t="s">
        <v>48</v>
      </c>
      <c r="W2" s="3" t="s">
        <v>49</v>
      </c>
      <c r="X2" s="3" t="s">
        <v>50</v>
      </c>
      <c r="Y2" s="3" t="s">
        <v>51</v>
      </c>
      <c r="Z2" s="3" t="s">
        <v>52</v>
      </c>
      <c r="AA2" s="7" t="s">
        <v>53</v>
      </c>
    </row>
    <row r="3" customFormat="false" ht="120" hidden="false" customHeight="true" outlineLevel="0" collapsed="false">
      <c r="A3" s="2" t="s">
        <v>54</v>
      </c>
      <c r="B3" s="3" t="s">
        <v>28</v>
      </c>
      <c r="C3" s="3" t="s">
        <v>55</v>
      </c>
      <c r="D3" s="8" t="s">
        <v>56</v>
      </c>
      <c r="E3" s="3" t="s">
        <v>57</v>
      </c>
      <c r="F3" s="3" t="s">
        <v>58</v>
      </c>
      <c r="G3" s="3" t="s">
        <v>33</v>
      </c>
      <c r="H3" s="3" t="s">
        <v>34</v>
      </c>
      <c r="I3" s="3" t="s">
        <v>59</v>
      </c>
      <c r="J3" s="3" t="s">
        <v>60</v>
      </c>
      <c r="K3" s="5" t="s">
        <v>37</v>
      </c>
      <c r="L3" s="3" t="s">
        <v>61</v>
      </c>
      <c r="M3" s="3" t="s">
        <v>62</v>
      </c>
      <c r="N3" s="3" t="s">
        <v>63</v>
      </c>
      <c r="O3" s="3" t="s">
        <v>64</v>
      </c>
      <c r="P3" s="3" t="s">
        <v>65</v>
      </c>
      <c r="Q3" s="6" t="s">
        <v>66</v>
      </c>
      <c r="R3" s="3" t="s">
        <v>44</v>
      </c>
      <c r="S3" s="6" t="s">
        <v>67</v>
      </c>
      <c r="T3" s="7" t="s">
        <v>68</v>
      </c>
      <c r="U3" s="6" t="s">
        <v>69</v>
      </c>
      <c r="V3" s="3" t="s">
        <v>70</v>
      </c>
      <c r="W3" s="3" t="s">
        <v>49</v>
      </c>
      <c r="X3" s="3" t="s">
        <v>71</v>
      </c>
      <c r="Y3" s="3" t="s">
        <v>72</v>
      </c>
      <c r="Z3" s="3" t="s">
        <v>73</v>
      </c>
      <c r="AA3" s="7" t="s">
        <v>53</v>
      </c>
    </row>
    <row r="4" customFormat="false" ht="120" hidden="false" customHeight="true" outlineLevel="0" collapsed="false">
      <c r="A4" s="2" t="s">
        <v>74</v>
      </c>
      <c r="B4" s="3" t="s">
        <v>28</v>
      </c>
      <c r="C4" s="3" t="s">
        <v>75</v>
      </c>
      <c r="D4" s="4" t="s">
        <v>30</v>
      </c>
      <c r="E4" s="3" t="s">
        <v>31</v>
      </c>
      <c r="F4" s="3" t="s">
        <v>32</v>
      </c>
      <c r="G4" s="3" t="s">
        <v>33</v>
      </c>
      <c r="H4" s="3" t="s">
        <v>34</v>
      </c>
      <c r="I4" s="3" t="s">
        <v>35</v>
      </c>
      <c r="J4" s="3" t="s">
        <v>36</v>
      </c>
      <c r="K4" s="5" t="s">
        <v>37</v>
      </c>
      <c r="L4" s="3" t="s">
        <v>76</v>
      </c>
      <c r="M4" s="3" t="s">
        <v>77</v>
      </c>
      <c r="N4" s="3" t="s">
        <v>78</v>
      </c>
      <c r="O4" s="3" t="s">
        <v>79</v>
      </c>
      <c r="P4" s="3" t="s">
        <v>80</v>
      </c>
      <c r="Q4" s="6" t="s">
        <v>81</v>
      </c>
      <c r="R4" s="3" t="s">
        <v>44</v>
      </c>
      <c r="S4" s="6" t="s">
        <v>82</v>
      </c>
      <c r="T4" s="7" t="s">
        <v>83</v>
      </c>
      <c r="U4" s="6" t="s">
        <v>84</v>
      </c>
      <c r="V4" s="3" t="s">
        <v>85</v>
      </c>
      <c r="W4" s="3" t="s">
        <v>49</v>
      </c>
      <c r="X4" s="3" t="s">
        <v>86</v>
      </c>
      <c r="Y4" s="3" t="s">
        <v>87</v>
      </c>
      <c r="Z4" s="3" t="s">
        <v>88</v>
      </c>
      <c r="AA4" s="7" t="s">
        <v>53</v>
      </c>
    </row>
    <row r="5" customFormat="false" ht="120" hidden="false" customHeight="true" outlineLevel="0" collapsed="false">
      <c r="A5" s="2" t="s">
        <v>89</v>
      </c>
      <c r="B5" s="3" t="s">
        <v>28</v>
      </c>
      <c r="C5" s="3" t="s">
        <v>90</v>
      </c>
      <c r="D5" s="9" t="s">
        <v>91</v>
      </c>
      <c r="E5" s="3" t="s">
        <v>92</v>
      </c>
      <c r="F5" s="3" t="s">
        <v>93</v>
      </c>
      <c r="G5" s="3" t="s">
        <v>94</v>
      </c>
      <c r="H5" s="3" t="s">
        <v>95</v>
      </c>
      <c r="I5" s="3" t="s">
        <v>35</v>
      </c>
      <c r="J5" s="3" t="s">
        <v>36</v>
      </c>
      <c r="K5" s="5" t="s">
        <v>37</v>
      </c>
      <c r="L5" s="3" t="s">
        <v>96</v>
      </c>
      <c r="M5" s="3" t="s">
        <v>97</v>
      </c>
      <c r="N5" s="3" t="s">
        <v>98</v>
      </c>
      <c r="O5" s="3" t="s">
        <v>99</v>
      </c>
      <c r="P5" s="3" t="s">
        <v>100</v>
      </c>
      <c r="Q5" s="6" t="s">
        <v>101</v>
      </c>
      <c r="R5" s="3" t="s">
        <v>44</v>
      </c>
      <c r="S5" s="6" t="s">
        <v>102</v>
      </c>
      <c r="T5" s="7" t="s">
        <v>103</v>
      </c>
      <c r="U5" s="6" t="s">
        <v>104</v>
      </c>
      <c r="V5" s="3" t="s">
        <v>105</v>
      </c>
      <c r="W5" s="3" t="s">
        <v>106</v>
      </c>
      <c r="X5" s="3" t="s">
        <v>107</v>
      </c>
      <c r="Y5" s="3" t="s">
        <v>108</v>
      </c>
      <c r="Z5" s="3" t="s">
        <v>109</v>
      </c>
      <c r="AA5" s="7" t="s">
        <v>53</v>
      </c>
    </row>
    <row r="6" customFormat="false" ht="120" hidden="false" customHeight="true" outlineLevel="0" collapsed="false">
      <c r="A6" s="2" t="s">
        <v>110</v>
      </c>
      <c r="B6" s="3" t="s">
        <v>28</v>
      </c>
      <c r="C6" s="3" t="s">
        <v>111</v>
      </c>
      <c r="D6" s="4" t="s">
        <v>30</v>
      </c>
      <c r="E6" s="3" t="s">
        <v>31</v>
      </c>
      <c r="F6" s="3" t="s">
        <v>32</v>
      </c>
      <c r="G6" s="3" t="s">
        <v>33</v>
      </c>
      <c r="H6" s="3" t="s">
        <v>34</v>
      </c>
      <c r="I6" s="3" t="s">
        <v>59</v>
      </c>
      <c r="J6" s="3" t="s">
        <v>60</v>
      </c>
      <c r="K6" s="5" t="s">
        <v>37</v>
      </c>
      <c r="L6" s="3" t="s">
        <v>112</v>
      </c>
      <c r="M6" s="3" t="s">
        <v>113</v>
      </c>
      <c r="N6" s="3" t="s">
        <v>114</v>
      </c>
      <c r="O6" s="3" t="s">
        <v>115</v>
      </c>
      <c r="P6" s="3" t="s">
        <v>116</v>
      </c>
      <c r="Q6" s="6" t="s">
        <v>43</v>
      </c>
      <c r="R6" s="3" t="s">
        <v>44</v>
      </c>
      <c r="S6" s="6" t="s">
        <v>117</v>
      </c>
      <c r="T6" s="7" t="s">
        <v>118</v>
      </c>
      <c r="U6" s="6" t="s">
        <v>119</v>
      </c>
      <c r="V6" s="3" t="s">
        <v>120</v>
      </c>
      <c r="W6" s="3" t="s">
        <v>121</v>
      </c>
      <c r="X6" s="3" t="s">
        <v>71</v>
      </c>
      <c r="Y6" s="3" t="s">
        <v>122</v>
      </c>
      <c r="Z6" s="3" t="s">
        <v>123</v>
      </c>
      <c r="AA6" s="7" t="s">
        <v>53</v>
      </c>
    </row>
    <row r="7" customFormat="false" ht="120" hidden="false" customHeight="true" outlineLevel="0" collapsed="false">
      <c r="A7" s="2" t="s">
        <v>124</v>
      </c>
      <c r="B7" s="3" t="s">
        <v>28</v>
      </c>
      <c r="C7" s="3" t="s">
        <v>111</v>
      </c>
      <c r="D7" s="4" t="s">
        <v>30</v>
      </c>
      <c r="E7" s="3" t="s">
        <v>31</v>
      </c>
      <c r="F7" s="3" t="s">
        <v>32</v>
      </c>
      <c r="G7" s="3" t="s">
        <v>33</v>
      </c>
      <c r="H7" s="3" t="s">
        <v>34</v>
      </c>
      <c r="I7" s="3" t="s">
        <v>59</v>
      </c>
      <c r="J7" s="3" t="s">
        <v>60</v>
      </c>
      <c r="K7" s="5" t="s">
        <v>37</v>
      </c>
      <c r="L7" s="3" t="s">
        <v>125</v>
      </c>
      <c r="M7" s="3" t="s">
        <v>126</v>
      </c>
      <c r="N7" s="3" t="s">
        <v>127</v>
      </c>
      <c r="O7" s="3" t="s">
        <v>128</v>
      </c>
      <c r="P7" s="3" t="s">
        <v>129</v>
      </c>
      <c r="Q7" s="6" t="s">
        <v>130</v>
      </c>
      <c r="R7" s="3" t="s">
        <v>44</v>
      </c>
      <c r="S7" s="6" t="s">
        <v>131</v>
      </c>
      <c r="T7" s="7" t="s">
        <v>132</v>
      </c>
      <c r="U7" s="6" t="s">
        <v>133</v>
      </c>
      <c r="V7" s="3" t="s">
        <v>120</v>
      </c>
      <c r="W7" s="3" t="s">
        <v>121</v>
      </c>
      <c r="X7" s="3" t="s">
        <v>134</v>
      </c>
      <c r="Y7" s="3" t="s">
        <v>122</v>
      </c>
      <c r="Z7" s="3" t="s">
        <v>123</v>
      </c>
      <c r="AA7" s="7" t="s">
        <v>53</v>
      </c>
    </row>
    <row r="8" customFormat="false" ht="120" hidden="false" customHeight="true" outlineLevel="0" collapsed="false">
      <c r="A8" s="2" t="s">
        <v>135</v>
      </c>
      <c r="B8" s="3" t="s">
        <v>28</v>
      </c>
      <c r="C8" s="3" t="s">
        <v>111</v>
      </c>
      <c r="D8" s="10" t="s">
        <v>136</v>
      </c>
      <c r="E8" s="3" t="s">
        <v>137</v>
      </c>
      <c r="F8" s="3" t="s">
        <v>138</v>
      </c>
      <c r="G8" s="3" t="s">
        <v>33</v>
      </c>
      <c r="H8" s="3" t="s">
        <v>34</v>
      </c>
      <c r="I8" s="3" t="s">
        <v>59</v>
      </c>
      <c r="J8" s="3" t="s">
        <v>60</v>
      </c>
      <c r="K8" s="5" t="s">
        <v>37</v>
      </c>
      <c r="L8" s="3" t="s">
        <v>139</v>
      </c>
      <c r="M8" s="3" t="s">
        <v>140</v>
      </c>
      <c r="N8" s="3" t="s">
        <v>141</v>
      </c>
      <c r="O8" s="3" t="s">
        <v>142</v>
      </c>
      <c r="P8" s="3" t="s">
        <v>143</v>
      </c>
      <c r="Q8" s="6" t="s">
        <v>144</v>
      </c>
      <c r="R8" s="3" t="s">
        <v>44</v>
      </c>
      <c r="S8" s="6" t="s">
        <v>145</v>
      </c>
      <c r="T8" s="7" t="s">
        <v>146</v>
      </c>
      <c r="U8" s="6" t="s">
        <v>147</v>
      </c>
      <c r="V8" s="3" t="s">
        <v>120</v>
      </c>
      <c r="W8" s="3" t="s">
        <v>121</v>
      </c>
      <c r="X8" s="3" t="s">
        <v>134</v>
      </c>
      <c r="Y8" s="3" t="s">
        <v>122</v>
      </c>
      <c r="Z8" s="3" t="s">
        <v>123</v>
      </c>
      <c r="AA8" s="7" t="s">
        <v>53</v>
      </c>
    </row>
    <row r="9" customFormat="false" ht="120" hidden="false" customHeight="true" outlineLevel="0" collapsed="false">
      <c r="A9" s="2" t="s">
        <v>148</v>
      </c>
      <c r="B9" s="3" t="s">
        <v>28</v>
      </c>
      <c r="C9" s="3" t="s">
        <v>111</v>
      </c>
      <c r="D9" s="4" t="s">
        <v>30</v>
      </c>
      <c r="E9" s="3" t="s">
        <v>31</v>
      </c>
      <c r="F9" s="3" t="s">
        <v>32</v>
      </c>
      <c r="G9" s="3" t="s">
        <v>33</v>
      </c>
      <c r="H9" s="3" t="s">
        <v>34</v>
      </c>
      <c r="I9" s="3" t="s">
        <v>59</v>
      </c>
      <c r="J9" s="3" t="s">
        <v>60</v>
      </c>
      <c r="K9" s="5" t="s">
        <v>37</v>
      </c>
      <c r="L9" s="3" t="s">
        <v>149</v>
      </c>
      <c r="M9" s="3" t="s">
        <v>150</v>
      </c>
      <c r="N9" s="3" t="s">
        <v>151</v>
      </c>
      <c r="O9" s="3" t="s">
        <v>152</v>
      </c>
      <c r="P9" s="3" t="s">
        <v>153</v>
      </c>
      <c r="Q9" s="6" t="s">
        <v>154</v>
      </c>
      <c r="R9" s="3" t="s">
        <v>44</v>
      </c>
      <c r="S9" s="6" t="s">
        <v>155</v>
      </c>
      <c r="T9" s="7" t="s">
        <v>156</v>
      </c>
      <c r="U9" s="6" t="s">
        <v>157</v>
      </c>
      <c r="V9" s="3" t="s">
        <v>120</v>
      </c>
      <c r="W9" s="3" t="s">
        <v>121</v>
      </c>
      <c r="X9" s="3" t="s">
        <v>134</v>
      </c>
      <c r="Y9" s="3" t="s">
        <v>122</v>
      </c>
      <c r="Z9" s="3" t="s">
        <v>123</v>
      </c>
      <c r="AA9" s="7" t="s">
        <v>53</v>
      </c>
    </row>
    <row r="10" customFormat="false" ht="120" hidden="false" customHeight="true" outlineLevel="0" collapsed="false">
      <c r="A10" s="2" t="s">
        <v>158</v>
      </c>
      <c r="B10" s="3" t="s">
        <v>28</v>
      </c>
      <c r="C10" s="3" t="s">
        <v>111</v>
      </c>
      <c r="D10" s="4" t="s">
        <v>30</v>
      </c>
      <c r="E10" s="3" t="s">
        <v>31</v>
      </c>
      <c r="F10" s="3" t="s">
        <v>32</v>
      </c>
      <c r="G10" s="3" t="s">
        <v>33</v>
      </c>
      <c r="H10" s="3" t="s">
        <v>34</v>
      </c>
      <c r="I10" s="3" t="s">
        <v>59</v>
      </c>
      <c r="J10" s="3" t="s">
        <v>60</v>
      </c>
      <c r="K10" s="5" t="s">
        <v>37</v>
      </c>
      <c r="L10" s="3" t="s">
        <v>159</v>
      </c>
      <c r="M10" s="3" t="s">
        <v>160</v>
      </c>
      <c r="N10" s="3" t="s">
        <v>161</v>
      </c>
      <c r="O10" s="3" t="s">
        <v>162</v>
      </c>
      <c r="P10" s="3" t="s">
        <v>163</v>
      </c>
      <c r="Q10" s="6" t="s">
        <v>154</v>
      </c>
      <c r="R10" s="3" t="s">
        <v>44</v>
      </c>
      <c r="S10" s="6" t="s">
        <v>164</v>
      </c>
      <c r="T10" s="7" t="s">
        <v>165</v>
      </c>
      <c r="U10" s="6" t="s">
        <v>166</v>
      </c>
      <c r="V10" s="3" t="s">
        <v>120</v>
      </c>
      <c r="W10" s="3" t="s">
        <v>121</v>
      </c>
      <c r="X10" s="3" t="s">
        <v>134</v>
      </c>
      <c r="Y10" s="3" t="s">
        <v>122</v>
      </c>
      <c r="Z10" s="3" t="s">
        <v>123</v>
      </c>
      <c r="AA10" s="7" t="s">
        <v>53</v>
      </c>
    </row>
    <row r="11" customFormat="false" ht="120" hidden="false" customHeight="true" outlineLevel="0" collapsed="false">
      <c r="A11" s="2" t="s">
        <v>167</v>
      </c>
      <c r="B11" s="3" t="s">
        <v>28</v>
      </c>
      <c r="C11" s="3" t="s">
        <v>168</v>
      </c>
      <c r="D11" s="4" t="s">
        <v>30</v>
      </c>
      <c r="E11" s="3" t="s">
        <v>31</v>
      </c>
      <c r="F11" s="3" t="s">
        <v>32</v>
      </c>
      <c r="G11" s="3" t="s">
        <v>33</v>
      </c>
      <c r="H11" s="3" t="s">
        <v>34</v>
      </c>
      <c r="I11" s="3" t="s">
        <v>59</v>
      </c>
      <c r="J11" s="3" t="s">
        <v>60</v>
      </c>
      <c r="K11" s="5" t="s">
        <v>37</v>
      </c>
      <c r="L11" s="3" t="s">
        <v>169</v>
      </c>
      <c r="M11" s="3" t="s">
        <v>170</v>
      </c>
      <c r="N11" s="3" t="s">
        <v>171</v>
      </c>
      <c r="O11" s="3" t="s">
        <v>172</v>
      </c>
      <c r="P11" s="3" t="s">
        <v>173</v>
      </c>
      <c r="Q11" s="6" t="s">
        <v>130</v>
      </c>
      <c r="R11" s="3" t="s">
        <v>44</v>
      </c>
      <c r="S11" s="6" t="s">
        <v>174</v>
      </c>
      <c r="T11" s="7" t="s">
        <v>175</v>
      </c>
      <c r="U11" s="6" t="s">
        <v>176</v>
      </c>
      <c r="V11" s="3" t="s">
        <v>177</v>
      </c>
      <c r="W11" s="3" t="s">
        <v>121</v>
      </c>
      <c r="X11" s="3" t="s">
        <v>134</v>
      </c>
      <c r="Y11" s="3" t="s">
        <v>178</v>
      </c>
      <c r="Z11" s="3" t="s">
        <v>123</v>
      </c>
      <c r="AA11" s="7" t="s">
        <v>53</v>
      </c>
    </row>
    <row r="12" customFormat="false" ht="120" hidden="false" customHeight="true" outlineLevel="0" collapsed="false">
      <c r="A12" s="2" t="s">
        <v>179</v>
      </c>
      <c r="B12" s="3" t="s">
        <v>28</v>
      </c>
      <c r="C12" s="3" t="s">
        <v>180</v>
      </c>
      <c r="D12" s="8" t="s">
        <v>56</v>
      </c>
      <c r="E12" s="3" t="s">
        <v>57</v>
      </c>
      <c r="F12" s="3" t="s">
        <v>58</v>
      </c>
      <c r="G12" s="3" t="s">
        <v>94</v>
      </c>
      <c r="H12" s="3" t="s">
        <v>95</v>
      </c>
      <c r="I12" s="3" t="s">
        <v>35</v>
      </c>
      <c r="J12" s="3" t="s">
        <v>36</v>
      </c>
      <c r="K12" s="5" t="s">
        <v>37</v>
      </c>
      <c r="L12" s="3" t="s">
        <v>181</v>
      </c>
      <c r="M12" s="3" t="s">
        <v>182</v>
      </c>
      <c r="N12" s="3" t="s">
        <v>183</v>
      </c>
      <c r="O12" s="3" t="s">
        <v>184</v>
      </c>
      <c r="P12" s="3" t="s">
        <v>185</v>
      </c>
      <c r="Q12" s="6" t="s">
        <v>101</v>
      </c>
      <c r="R12" s="3" t="s">
        <v>44</v>
      </c>
      <c r="S12" s="6" t="s">
        <v>186</v>
      </c>
      <c r="T12" s="7" t="s">
        <v>187</v>
      </c>
      <c r="U12" s="6" t="s">
        <v>188</v>
      </c>
      <c r="V12" s="3" t="s">
        <v>189</v>
      </c>
      <c r="W12" s="3" t="s">
        <v>106</v>
      </c>
      <c r="X12" s="3" t="s">
        <v>86</v>
      </c>
      <c r="Y12" s="3" t="s">
        <v>190</v>
      </c>
      <c r="Z12" s="3" t="s">
        <v>191</v>
      </c>
      <c r="AA12" s="7" t="s">
        <v>53</v>
      </c>
    </row>
    <row r="13" customFormat="false" ht="120" hidden="false" customHeight="true" outlineLevel="0" collapsed="false">
      <c r="A13" s="2" t="s">
        <v>192</v>
      </c>
      <c r="B13" s="3" t="s">
        <v>28</v>
      </c>
      <c r="C13" s="3" t="s">
        <v>111</v>
      </c>
      <c r="D13" s="4" t="s">
        <v>30</v>
      </c>
      <c r="E13" s="3" t="s">
        <v>31</v>
      </c>
      <c r="F13" s="3" t="s">
        <v>32</v>
      </c>
      <c r="G13" s="3" t="s">
        <v>94</v>
      </c>
      <c r="H13" s="3" t="s">
        <v>95</v>
      </c>
      <c r="I13" s="3" t="s">
        <v>193</v>
      </c>
      <c r="J13" s="3" t="s">
        <v>194</v>
      </c>
      <c r="K13" s="5" t="s">
        <v>37</v>
      </c>
      <c r="L13" s="3" t="s">
        <v>195</v>
      </c>
      <c r="M13" s="3" t="s">
        <v>196</v>
      </c>
      <c r="N13" s="3" t="s">
        <v>197</v>
      </c>
      <c r="O13" s="3" t="s">
        <v>198</v>
      </c>
      <c r="P13" s="3" t="s">
        <v>199</v>
      </c>
      <c r="Q13" s="6" t="s">
        <v>81</v>
      </c>
      <c r="R13" s="3" t="s">
        <v>44</v>
      </c>
      <c r="S13" s="6" t="s">
        <v>200</v>
      </c>
      <c r="T13" s="7" t="s">
        <v>201</v>
      </c>
      <c r="U13" s="6" t="s">
        <v>202</v>
      </c>
      <c r="V13" s="3" t="s">
        <v>203</v>
      </c>
      <c r="W13" s="3" t="s">
        <v>121</v>
      </c>
      <c r="X13" s="3"/>
      <c r="Y13" s="3" t="s">
        <v>122</v>
      </c>
      <c r="Z13" s="3" t="s">
        <v>204</v>
      </c>
      <c r="AA13" s="7" t="s">
        <v>53</v>
      </c>
    </row>
    <row r="14" customFormat="false" ht="120" hidden="false" customHeight="true" outlineLevel="0" collapsed="false">
      <c r="A14" s="2" t="s">
        <v>205</v>
      </c>
      <c r="B14" s="3" t="s">
        <v>28</v>
      </c>
      <c r="C14" s="3" t="s">
        <v>111</v>
      </c>
      <c r="D14" s="4" t="s">
        <v>30</v>
      </c>
      <c r="E14" s="3" t="s">
        <v>31</v>
      </c>
      <c r="F14" s="3" t="s">
        <v>32</v>
      </c>
      <c r="G14" s="3" t="s">
        <v>94</v>
      </c>
      <c r="H14" s="3" t="s">
        <v>95</v>
      </c>
      <c r="I14" s="3" t="s">
        <v>59</v>
      </c>
      <c r="J14" s="3" t="s">
        <v>60</v>
      </c>
      <c r="K14" s="5" t="s">
        <v>37</v>
      </c>
      <c r="L14" s="3" t="s">
        <v>206</v>
      </c>
      <c r="M14" s="3" t="s">
        <v>207</v>
      </c>
      <c r="N14" s="3" t="s">
        <v>208</v>
      </c>
      <c r="O14" s="3" t="s">
        <v>209</v>
      </c>
      <c r="P14" s="3" t="s">
        <v>210</v>
      </c>
      <c r="Q14" s="6" t="s">
        <v>211</v>
      </c>
      <c r="R14" s="3" t="s">
        <v>44</v>
      </c>
      <c r="S14" s="6" t="s">
        <v>212</v>
      </c>
      <c r="T14" s="7" t="s">
        <v>213</v>
      </c>
      <c r="U14" s="6" t="s">
        <v>214</v>
      </c>
      <c r="V14" s="3" t="s">
        <v>215</v>
      </c>
      <c r="W14" s="3" t="s">
        <v>121</v>
      </c>
      <c r="X14" s="3"/>
      <c r="Y14" s="3" t="s">
        <v>122</v>
      </c>
      <c r="Z14" s="3" t="s">
        <v>204</v>
      </c>
      <c r="AA14" s="7" t="s">
        <v>53</v>
      </c>
    </row>
    <row r="15" customFormat="false" ht="120" hidden="false" customHeight="true" outlineLevel="0" collapsed="false">
      <c r="A15" s="2" t="s">
        <v>216</v>
      </c>
      <c r="B15" s="3" t="s">
        <v>28</v>
      </c>
      <c r="C15" s="3" t="s">
        <v>111</v>
      </c>
      <c r="D15" s="4" t="s">
        <v>30</v>
      </c>
      <c r="E15" s="3" t="s">
        <v>31</v>
      </c>
      <c r="F15" s="3" t="s">
        <v>32</v>
      </c>
      <c r="G15" s="3" t="s">
        <v>94</v>
      </c>
      <c r="H15" s="3" t="s">
        <v>95</v>
      </c>
      <c r="I15" s="3" t="s">
        <v>35</v>
      </c>
      <c r="J15" s="3" t="s">
        <v>36</v>
      </c>
      <c r="K15" s="5" t="s">
        <v>37</v>
      </c>
      <c r="L15" s="3" t="s">
        <v>217</v>
      </c>
      <c r="M15" s="3" t="s">
        <v>218</v>
      </c>
      <c r="N15" s="3" t="s">
        <v>219</v>
      </c>
      <c r="O15" s="3" t="s">
        <v>220</v>
      </c>
      <c r="P15" s="3" t="s">
        <v>221</v>
      </c>
      <c r="Q15" s="6" t="s">
        <v>81</v>
      </c>
      <c r="R15" s="3" t="s">
        <v>44</v>
      </c>
      <c r="S15" s="6" t="s">
        <v>222</v>
      </c>
      <c r="T15" s="7" t="s">
        <v>223</v>
      </c>
      <c r="U15" s="6" t="s">
        <v>224</v>
      </c>
      <c r="V15" s="3" t="s">
        <v>225</v>
      </c>
      <c r="W15" s="3" t="s">
        <v>121</v>
      </c>
      <c r="X15" s="3"/>
      <c r="Y15" s="3" t="s">
        <v>122</v>
      </c>
      <c r="Z15" s="3" t="s">
        <v>226</v>
      </c>
      <c r="AA15" s="7" t="s">
        <v>53</v>
      </c>
    </row>
    <row r="16" customFormat="false" ht="120" hidden="false" customHeight="true" outlineLevel="0" collapsed="false">
      <c r="A16" s="2" t="s">
        <v>227</v>
      </c>
      <c r="B16" s="3" t="s">
        <v>28</v>
      </c>
      <c r="C16" s="3" t="s">
        <v>111</v>
      </c>
      <c r="D16" s="8" t="s">
        <v>56</v>
      </c>
      <c r="E16" s="3" t="s">
        <v>57</v>
      </c>
      <c r="F16" s="3" t="s">
        <v>58</v>
      </c>
      <c r="G16" s="3" t="s">
        <v>228</v>
      </c>
      <c r="H16" s="3" t="s">
        <v>229</v>
      </c>
      <c r="I16" s="3" t="s">
        <v>35</v>
      </c>
      <c r="J16" s="3" t="s">
        <v>36</v>
      </c>
      <c r="K16" s="5" t="s">
        <v>37</v>
      </c>
      <c r="L16" s="3" t="s">
        <v>230</v>
      </c>
      <c r="M16" s="3" t="s">
        <v>231</v>
      </c>
      <c r="N16" s="3" t="s">
        <v>232</v>
      </c>
      <c r="O16" s="3" t="s">
        <v>233</v>
      </c>
      <c r="P16" s="3" t="s">
        <v>234</v>
      </c>
      <c r="Q16" s="6" t="s">
        <v>235</v>
      </c>
      <c r="R16" s="3" t="s">
        <v>44</v>
      </c>
      <c r="S16" s="6" t="s">
        <v>236</v>
      </c>
      <c r="T16" s="7" t="s">
        <v>237</v>
      </c>
      <c r="U16" s="6" t="s">
        <v>238</v>
      </c>
      <c r="V16" s="3" t="s">
        <v>225</v>
      </c>
      <c r="W16" s="3" t="s">
        <v>121</v>
      </c>
      <c r="X16" s="3"/>
      <c r="Y16" s="3" t="s">
        <v>122</v>
      </c>
      <c r="Z16" s="3" t="s">
        <v>226</v>
      </c>
      <c r="AA16" s="7" t="s">
        <v>53</v>
      </c>
    </row>
    <row r="17" customFormat="false" ht="120" hidden="false" customHeight="true" outlineLevel="0" collapsed="false">
      <c r="A17" s="2" t="s">
        <v>239</v>
      </c>
      <c r="B17" s="3" t="s">
        <v>28</v>
      </c>
      <c r="C17" s="3" t="s">
        <v>111</v>
      </c>
      <c r="D17" s="8" t="s">
        <v>56</v>
      </c>
      <c r="E17" s="3" t="s">
        <v>57</v>
      </c>
      <c r="F17" s="3" t="s">
        <v>58</v>
      </c>
      <c r="G17" s="3" t="s">
        <v>240</v>
      </c>
      <c r="H17" s="3" t="s">
        <v>93</v>
      </c>
      <c r="I17" s="3" t="s">
        <v>193</v>
      </c>
      <c r="J17" s="3" t="s">
        <v>194</v>
      </c>
      <c r="K17" s="5" t="s">
        <v>37</v>
      </c>
      <c r="L17" s="3" t="s">
        <v>241</v>
      </c>
      <c r="M17" s="3" t="s">
        <v>242</v>
      </c>
      <c r="N17" s="3" t="s">
        <v>243</v>
      </c>
      <c r="O17" s="3" t="s">
        <v>244</v>
      </c>
      <c r="P17" s="3" t="s">
        <v>245</v>
      </c>
      <c r="Q17" s="6" t="s">
        <v>81</v>
      </c>
      <c r="R17" s="3" t="s">
        <v>44</v>
      </c>
      <c r="S17" s="6" t="s">
        <v>246</v>
      </c>
      <c r="T17" s="7" t="s">
        <v>247</v>
      </c>
      <c r="U17" s="6" t="s">
        <v>248</v>
      </c>
      <c r="V17" s="3" t="s">
        <v>225</v>
      </c>
      <c r="W17" s="3" t="s">
        <v>121</v>
      </c>
      <c r="X17" s="3"/>
      <c r="Y17" s="3" t="s">
        <v>122</v>
      </c>
      <c r="Z17" s="3" t="s">
        <v>204</v>
      </c>
      <c r="AA17" s="7" t="s">
        <v>53</v>
      </c>
    </row>
    <row r="18" customFormat="false" ht="120" hidden="false" customHeight="true" outlineLevel="0" collapsed="false">
      <c r="A18" s="2" t="s">
        <v>249</v>
      </c>
      <c r="B18" s="3" t="s">
        <v>28</v>
      </c>
      <c r="C18" s="3" t="s">
        <v>111</v>
      </c>
      <c r="D18" s="4" t="s">
        <v>30</v>
      </c>
      <c r="E18" s="3" t="s">
        <v>31</v>
      </c>
      <c r="F18" s="3" t="s">
        <v>32</v>
      </c>
      <c r="G18" s="3" t="s">
        <v>94</v>
      </c>
      <c r="H18" s="3" t="s">
        <v>95</v>
      </c>
      <c r="I18" s="3" t="s">
        <v>250</v>
      </c>
      <c r="J18" s="3" t="s">
        <v>251</v>
      </c>
      <c r="K18" s="5" t="s">
        <v>37</v>
      </c>
      <c r="L18" s="3" t="s">
        <v>252</v>
      </c>
      <c r="M18" s="3" t="s">
        <v>253</v>
      </c>
      <c r="N18" s="3" t="s">
        <v>254</v>
      </c>
      <c r="O18" s="3" t="s">
        <v>255</v>
      </c>
      <c r="P18" s="3" t="s">
        <v>256</v>
      </c>
      <c r="Q18" s="6" t="s">
        <v>257</v>
      </c>
      <c r="R18" s="3" t="s">
        <v>44</v>
      </c>
      <c r="S18" s="6" t="s">
        <v>258</v>
      </c>
      <c r="T18" s="7" t="s">
        <v>259</v>
      </c>
      <c r="U18" s="6" t="s">
        <v>260</v>
      </c>
      <c r="V18" s="3" t="s">
        <v>261</v>
      </c>
      <c r="W18" s="3" t="s">
        <v>121</v>
      </c>
      <c r="X18" s="3"/>
      <c r="Y18" s="3" t="s">
        <v>122</v>
      </c>
      <c r="Z18" s="3" t="s">
        <v>204</v>
      </c>
      <c r="AA18" s="7" t="s">
        <v>53</v>
      </c>
    </row>
    <row r="19" customFormat="false" ht="120" hidden="false" customHeight="true" outlineLevel="0" collapsed="false">
      <c r="A19" s="2" t="s">
        <v>262</v>
      </c>
      <c r="B19" s="3" t="s">
        <v>28</v>
      </c>
      <c r="C19" s="3" t="s">
        <v>111</v>
      </c>
      <c r="D19" s="10" t="s">
        <v>136</v>
      </c>
      <c r="E19" s="3" t="s">
        <v>137</v>
      </c>
      <c r="F19" s="3" t="s">
        <v>138</v>
      </c>
      <c r="G19" s="3" t="s">
        <v>228</v>
      </c>
      <c r="H19" s="3" t="s">
        <v>229</v>
      </c>
      <c r="I19" s="3" t="s">
        <v>263</v>
      </c>
      <c r="J19" s="3" t="s">
        <v>264</v>
      </c>
      <c r="K19" s="5" t="s">
        <v>37</v>
      </c>
      <c r="L19" s="3" t="s">
        <v>265</v>
      </c>
      <c r="M19" s="3" t="s">
        <v>266</v>
      </c>
      <c r="N19" s="3" t="s">
        <v>267</v>
      </c>
      <c r="O19" s="3" t="s">
        <v>268</v>
      </c>
      <c r="P19" s="3" t="s">
        <v>269</v>
      </c>
      <c r="Q19" s="6" t="s">
        <v>154</v>
      </c>
      <c r="R19" s="3" t="s">
        <v>44</v>
      </c>
      <c r="S19" s="6" t="s">
        <v>270</v>
      </c>
      <c r="T19" s="7" t="s">
        <v>271</v>
      </c>
      <c r="U19" s="6" t="s">
        <v>272</v>
      </c>
      <c r="V19" s="3" t="s">
        <v>225</v>
      </c>
      <c r="W19" s="3" t="s">
        <v>121</v>
      </c>
      <c r="X19" s="3"/>
      <c r="Y19" s="3" t="s">
        <v>122</v>
      </c>
      <c r="Z19" s="3" t="s">
        <v>204</v>
      </c>
      <c r="AA19" s="7" t="s">
        <v>53</v>
      </c>
    </row>
    <row r="20" customFormat="false" ht="120" hidden="false" customHeight="true" outlineLevel="0" collapsed="false">
      <c r="A20" s="2" t="s">
        <v>273</v>
      </c>
      <c r="B20" s="3" t="s">
        <v>28</v>
      </c>
      <c r="C20" s="3" t="s">
        <v>274</v>
      </c>
      <c r="D20" s="8" t="s">
        <v>56</v>
      </c>
      <c r="E20" s="3" t="s">
        <v>57</v>
      </c>
      <c r="F20" s="3" t="s">
        <v>58</v>
      </c>
      <c r="G20" s="3" t="s">
        <v>33</v>
      </c>
      <c r="H20" s="3" t="s">
        <v>34</v>
      </c>
      <c r="I20" s="3" t="s">
        <v>263</v>
      </c>
      <c r="J20" s="3" t="s">
        <v>264</v>
      </c>
      <c r="K20" s="5" t="s">
        <v>37</v>
      </c>
      <c r="L20" s="3" t="s">
        <v>275</v>
      </c>
      <c r="M20" s="3" t="s">
        <v>276</v>
      </c>
      <c r="N20" s="3" t="s">
        <v>277</v>
      </c>
      <c r="O20" s="3" t="s">
        <v>278</v>
      </c>
      <c r="P20" s="3" t="s">
        <v>279</v>
      </c>
      <c r="Q20" s="6" t="s">
        <v>101</v>
      </c>
      <c r="R20" s="3" t="s">
        <v>44</v>
      </c>
      <c r="S20" s="6" t="s">
        <v>280</v>
      </c>
      <c r="T20" s="7" t="s">
        <v>281</v>
      </c>
      <c r="U20" s="6" t="s">
        <v>282</v>
      </c>
      <c r="V20" s="3" t="s">
        <v>283</v>
      </c>
      <c r="W20" s="3" t="s">
        <v>121</v>
      </c>
      <c r="X20" s="3" t="s">
        <v>107</v>
      </c>
      <c r="Y20" s="3" t="s">
        <v>284</v>
      </c>
      <c r="Z20" s="3" t="s">
        <v>285</v>
      </c>
      <c r="AA20" s="7" t="s">
        <v>53</v>
      </c>
    </row>
    <row r="21" customFormat="false" ht="120" hidden="false" customHeight="true" outlineLevel="0" collapsed="false">
      <c r="A21" s="2" t="s">
        <v>286</v>
      </c>
      <c r="B21" s="3" t="s">
        <v>28</v>
      </c>
      <c r="C21" s="3" t="s">
        <v>287</v>
      </c>
      <c r="D21" s="4" t="s">
        <v>30</v>
      </c>
      <c r="E21" s="3" t="s">
        <v>31</v>
      </c>
      <c r="F21" s="3" t="s">
        <v>32</v>
      </c>
      <c r="G21" s="3" t="s">
        <v>33</v>
      </c>
      <c r="H21" s="3" t="s">
        <v>34</v>
      </c>
      <c r="I21" s="3" t="s">
        <v>59</v>
      </c>
      <c r="J21" s="3" t="s">
        <v>60</v>
      </c>
      <c r="K21" s="5" t="s">
        <v>37</v>
      </c>
      <c r="L21" s="3" t="s">
        <v>288</v>
      </c>
      <c r="M21" s="3" t="s">
        <v>289</v>
      </c>
      <c r="N21" s="3" t="s">
        <v>290</v>
      </c>
      <c r="O21" s="3" t="s">
        <v>291</v>
      </c>
      <c r="P21" s="3" t="s">
        <v>292</v>
      </c>
      <c r="Q21" s="6" t="s">
        <v>144</v>
      </c>
      <c r="R21" s="3" t="s">
        <v>44</v>
      </c>
      <c r="S21" s="6" t="s">
        <v>293</v>
      </c>
      <c r="T21" s="7" t="s">
        <v>294</v>
      </c>
      <c r="U21" s="6" t="s">
        <v>295</v>
      </c>
      <c r="V21" s="3" t="s">
        <v>283</v>
      </c>
      <c r="W21" s="3" t="s">
        <v>121</v>
      </c>
      <c r="X21" s="3" t="s">
        <v>123</v>
      </c>
      <c r="Y21" s="3" t="s">
        <v>296</v>
      </c>
      <c r="Z21" s="3" t="s">
        <v>297</v>
      </c>
      <c r="AA21" s="7" t="s">
        <v>53</v>
      </c>
    </row>
    <row r="22" customFormat="false" ht="120" hidden="false" customHeight="true" outlineLevel="0" collapsed="false">
      <c r="A22" s="2" t="s">
        <v>298</v>
      </c>
      <c r="B22" s="3" t="s">
        <v>28</v>
      </c>
      <c r="C22" s="3" t="s">
        <v>287</v>
      </c>
      <c r="D22" s="4" t="s">
        <v>30</v>
      </c>
      <c r="E22" s="3" t="s">
        <v>31</v>
      </c>
      <c r="F22" s="3" t="s">
        <v>32</v>
      </c>
      <c r="G22" s="3" t="s">
        <v>33</v>
      </c>
      <c r="H22" s="3" t="s">
        <v>34</v>
      </c>
      <c r="I22" s="3" t="s">
        <v>59</v>
      </c>
      <c r="J22" s="3" t="s">
        <v>60</v>
      </c>
      <c r="K22" s="5" t="s">
        <v>37</v>
      </c>
      <c r="L22" s="3" t="s">
        <v>299</v>
      </c>
      <c r="M22" s="3" t="s">
        <v>300</v>
      </c>
      <c r="N22" s="3" t="s">
        <v>301</v>
      </c>
      <c r="O22" s="3" t="s">
        <v>302</v>
      </c>
      <c r="P22" s="3" t="s">
        <v>303</v>
      </c>
      <c r="Q22" s="6" t="s">
        <v>144</v>
      </c>
      <c r="R22" s="3" t="s">
        <v>44</v>
      </c>
      <c r="S22" s="6" t="s">
        <v>304</v>
      </c>
      <c r="T22" s="7" t="s">
        <v>305</v>
      </c>
      <c r="U22" s="6" t="s">
        <v>306</v>
      </c>
      <c r="V22" s="3" t="s">
        <v>283</v>
      </c>
      <c r="W22" s="3" t="s">
        <v>121</v>
      </c>
      <c r="X22" s="3" t="s">
        <v>123</v>
      </c>
      <c r="Y22" s="3" t="s">
        <v>296</v>
      </c>
      <c r="Z22" s="3" t="s">
        <v>297</v>
      </c>
      <c r="AA22" s="7" t="s">
        <v>53</v>
      </c>
    </row>
    <row r="23" customFormat="false" ht="120" hidden="false" customHeight="true" outlineLevel="0" collapsed="false">
      <c r="A23" s="2" t="s">
        <v>307</v>
      </c>
      <c r="B23" s="3" t="s">
        <v>28</v>
      </c>
      <c r="C23" s="3" t="s">
        <v>287</v>
      </c>
      <c r="D23" s="4" t="s">
        <v>30</v>
      </c>
      <c r="E23" s="3" t="s">
        <v>31</v>
      </c>
      <c r="F23" s="3" t="s">
        <v>32</v>
      </c>
      <c r="G23" s="3" t="s">
        <v>33</v>
      </c>
      <c r="H23" s="3" t="s">
        <v>34</v>
      </c>
      <c r="I23" s="3" t="s">
        <v>59</v>
      </c>
      <c r="J23" s="3" t="s">
        <v>60</v>
      </c>
      <c r="K23" s="5" t="s">
        <v>37</v>
      </c>
      <c r="L23" s="3" t="s">
        <v>308</v>
      </c>
      <c r="M23" s="3" t="s">
        <v>309</v>
      </c>
      <c r="N23" s="3" t="s">
        <v>310</v>
      </c>
      <c r="O23" s="3" t="s">
        <v>311</v>
      </c>
      <c r="P23" s="3" t="s">
        <v>312</v>
      </c>
      <c r="Q23" s="6" t="s">
        <v>144</v>
      </c>
      <c r="R23" s="3" t="s">
        <v>44</v>
      </c>
      <c r="S23" s="6" t="s">
        <v>313</v>
      </c>
      <c r="T23" s="7" t="s">
        <v>314</v>
      </c>
      <c r="U23" s="6" t="s">
        <v>315</v>
      </c>
      <c r="V23" s="3" t="s">
        <v>316</v>
      </c>
      <c r="W23" s="3" t="s">
        <v>121</v>
      </c>
      <c r="X23" s="3" t="s">
        <v>134</v>
      </c>
      <c r="Y23" s="3" t="s">
        <v>296</v>
      </c>
      <c r="Z23" s="3" t="s">
        <v>297</v>
      </c>
      <c r="AA23" s="7" t="s">
        <v>53</v>
      </c>
    </row>
    <row r="24" customFormat="false" ht="120" hidden="false" customHeight="true" outlineLevel="0" collapsed="false">
      <c r="A24" s="2" t="s">
        <v>317</v>
      </c>
      <c r="B24" s="3" t="s">
        <v>28</v>
      </c>
      <c r="C24" s="3" t="s">
        <v>318</v>
      </c>
      <c r="D24" s="4" t="s">
        <v>30</v>
      </c>
      <c r="E24" s="3" t="s">
        <v>31</v>
      </c>
      <c r="F24" s="3" t="s">
        <v>32</v>
      </c>
      <c r="G24" s="3" t="s">
        <v>33</v>
      </c>
      <c r="H24" s="3" t="s">
        <v>34</v>
      </c>
      <c r="I24" s="3" t="s">
        <v>59</v>
      </c>
      <c r="J24" s="3" t="s">
        <v>60</v>
      </c>
      <c r="K24" s="5" t="s">
        <v>37</v>
      </c>
      <c r="L24" s="3" t="s">
        <v>319</v>
      </c>
      <c r="M24" s="3" t="s">
        <v>320</v>
      </c>
      <c r="N24" s="3" t="s">
        <v>321</v>
      </c>
      <c r="O24" s="3" t="s">
        <v>322</v>
      </c>
      <c r="P24" s="3" t="s">
        <v>323</v>
      </c>
      <c r="Q24" s="6" t="s">
        <v>154</v>
      </c>
      <c r="R24" s="3" t="s">
        <v>44</v>
      </c>
      <c r="S24" s="6" t="s">
        <v>324</v>
      </c>
      <c r="T24" s="7" t="s">
        <v>325</v>
      </c>
      <c r="U24" s="6" t="s">
        <v>326</v>
      </c>
      <c r="V24" s="3" t="s">
        <v>327</v>
      </c>
      <c r="W24" s="3" t="s">
        <v>328</v>
      </c>
      <c r="X24" s="3" t="s">
        <v>297</v>
      </c>
      <c r="Y24" s="3" t="s">
        <v>329</v>
      </c>
      <c r="Z24" s="3" t="s">
        <v>330</v>
      </c>
      <c r="AA24" s="7" t="s">
        <v>53</v>
      </c>
    </row>
    <row r="25" customFormat="false" ht="120" hidden="false" customHeight="true" outlineLevel="0" collapsed="false">
      <c r="A25" s="2" t="s">
        <v>331</v>
      </c>
      <c r="B25" s="3" t="s">
        <v>28</v>
      </c>
      <c r="C25" s="3" t="s">
        <v>287</v>
      </c>
      <c r="D25" s="4" t="s">
        <v>30</v>
      </c>
      <c r="E25" s="3" t="s">
        <v>31</v>
      </c>
      <c r="F25" s="3" t="s">
        <v>32</v>
      </c>
      <c r="G25" s="3" t="s">
        <v>33</v>
      </c>
      <c r="H25" s="3" t="s">
        <v>34</v>
      </c>
      <c r="I25" s="3" t="s">
        <v>59</v>
      </c>
      <c r="J25" s="3" t="s">
        <v>60</v>
      </c>
      <c r="K25" s="5" t="s">
        <v>37</v>
      </c>
      <c r="L25" s="3" t="s">
        <v>332</v>
      </c>
      <c r="M25" s="3" t="s">
        <v>333</v>
      </c>
      <c r="N25" s="3" t="s">
        <v>334</v>
      </c>
      <c r="O25" s="3" t="s">
        <v>335</v>
      </c>
      <c r="P25" s="3" t="s">
        <v>336</v>
      </c>
      <c r="Q25" s="6" t="s">
        <v>130</v>
      </c>
      <c r="R25" s="3" t="s">
        <v>44</v>
      </c>
      <c r="S25" s="6" t="s">
        <v>337</v>
      </c>
      <c r="T25" s="7" t="s">
        <v>338</v>
      </c>
      <c r="U25" s="6" t="s">
        <v>176</v>
      </c>
      <c r="V25" s="3" t="s">
        <v>283</v>
      </c>
      <c r="W25" s="3" t="s">
        <v>121</v>
      </c>
      <c r="X25" s="3" t="s">
        <v>123</v>
      </c>
      <c r="Y25" s="3" t="s">
        <v>296</v>
      </c>
      <c r="Z25" s="3" t="s">
        <v>297</v>
      </c>
      <c r="AA25" s="7" t="s">
        <v>53</v>
      </c>
    </row>
    <row r="26" customFormat="false" ht="120" hidden="false" customHeight="true" outlineLevel="0" collapsed="false">
      <c r="A26" s="2" t="s">
        <v>339</v>
      </c>
      <c r="B26" s="3" t="s">
        <v>28</v>
      </c>
      <c r="C26" s="3" t="s">
        <v>287</v>
      </c>
      <c r="D26" s="10" t="s">
        <v>136</v>
      </c>
      <c r="E26" s="3" t="s">
        <v>137</v>
      </c>
      <c r="F26" s="3" t="s">
        <v>138</v>
      </c>
      <c r="G26" s="3" t="s">
        <v>94</v>
      </c>
      <c r="H26" s="3" t="s">
        <v>95</v>
      </c>
      <c r="I26" s="3" t="s">
        <v>59</v>
      </c>
      <c r="J26" s="3" t="s">
        <v>60</v>
      </c>
      <c r="K26" s="5" t="s">
        <v>37</v>
      </c>
      <c r="L26" s="3" t="s">
        <v>340</v>
      </c>
      <c r="M26" s="3" t="s">
        <v>341</v>
      </c>
      <c r="N26" s="3" t="s">
        <v>342</v>
      </c>
      <c r="O26" s="3" t="s">
        <v>343</v>
      </c>
      <c r="P26" s="3" t="s">
        <v>344</v>
      </c>
      <c r="Q26" s="6" t="s">
        <v>154</v>
      </c>
      <c r="R26" s="3" t="s">
        <v>44</v>
      </c>
      <c r="S26" s="6" t="s">
        <v>345</v>
      </c>
      <c r="T26" s="7" t="s">
        <v>346</v>
      </c>
      <c r="U26" s="6" t="s">
        <v>347</v>
      </c>
      <c r="V26" s="3" t="s">
        <v>283</v>
      </c>
      <c r="W26" s="3" t="s">
        <v>121</v>
      </c>
      <c r="X26" s="3" t="s">
        <v>123</v>
      </c>
      <c r="Y26" s="3" t="s">
        <v>296</v>
      </c>
      <c r="Z26" s="3" t="s">
        <v>297</v>
      </c>
      <c r="AA26" s="7" t="s">
        <v>53</v>
      </c>
    </row>
    <row r="27" customFormat="false" ht="120" hidden="false" customHeight="true" outlineLevel="0" collapsed="false">
      <c r="A27" s="2" t="s">
        <v>348</v>
      </c>
      <c r="B27" s="3" t="s">
        <v>28</v>
      </c>
      <c r="C27" s="3" t="s">
        <v>287</v>
      </c>
      <c r="D27" s="8" t="s">
        <v>56</v>
      </c>
      <c r="E27" s="3" t="s">
        <v>57</v>
      </c>
      <c r="F27" s="3" t="s">
        <v>58</v>
      </c>
      <c r="G27" s="3" t="s">
        <v>94</v>
      </c>
      <c r="H27" s="3" t="s">
        <v>95</v>
      </c>
      <c r="I27" s="3" t="s">
        <v>59</v>
      </c>
      <c r="J27" s="3" t="s">
        <v>60</v>
      </c>
      <c r="K27" s="5" t="s">
        <v>37</v>
      </c>
      <c r="L27" s="3" t="s">
        <v>349</v>
      </c>
      <c r="M27" s="3" t="s">
        <v>350</v>
      </c>
      <c r="N27" s="3" t="s">
        <v>351</v>
      </c>
      <c r="O27" s="3" t="s">
        <v>352</v>
      </c>
      <c r="P27" s="3" t="s">
        <v>353</v>
      </c>
      <c r="Q27" s="6" t="s">
        <v>43</v>
      </c>
      <c r="R27" s="3" t="s">
        <v>44</v>
      </c>
      <c r="S27" s="6" t="s">
        <v>354</v>
      </c>
      <c r="T27" s="7" t="s">
        <v>355</v>
      </c>
      <c r="U27" s="6" t="s">
        <v>356</v>
      </c>
      <c r="V27" s="3" t="s">
        <v>283</v>
      </c>
      <c r="W27" s="3" t="s">
        <v>121</v>
      </c>
      <c r="X27" s="3" t="s">
        <v>134</v>
      </c>
      <c r="Y27" s="3" t="s">
        <v>296</v>
      </c>
      <c r="Z27" s="3" t="s">
        <v>297</v>
      </c>
      <c r="AA27" s="7" t="s">
        <v>53</v>
      </c>
    </row>
    <row r="28" customFormat="false" ht="120" hidden="false" customHeight="true" outlineLevel="0" collapsed="false">
      <c r="A28" s="2" t="s">
        <v>357</v>
      </c>
      <c r="B28" s="3" t="s">
        <v>28</v>
      </c>
      <c r="C28" s="3" t="s">
        <v>318</v>
      </c>
      <c r="D28" s="10" t="s">
        <v>136</v>
      </c>
      <c r="E28" s="3" t="s">
        <v>137</v>
      </c>
      <c r="F28" s="3" t="s">
        <v>138</v>
      </c>
      <c r="G28" s="3" t="s">
        <v>94</v>
      </c>
      <c r="H28" s="3" t="s">
        <v>95</v>
      </c>
      <c r="I28" s="3" t="s">
        <v>263</v>
      </c>
      <c r="J28" s="3" t="s">
        <v>264</v>
      </c>
      <c r="K28" s="5" t="s">
        <v>37</v>
      </c>
      <c r="L28" s="3" t="s">
        <v>358</v>
      </c>
      <c r="M28" s="3" t="s">
        <v>359</v>
      </c>
      <c r="N28" s="3" t="s">
        <v>360</v>
      </c>
      <c r="O28" s="3" t="s">
        <v>361</v>
      </c>
      <c r="P28" s="3" t="s">
        <v>362</v>
      </c>
      <c r="Q28" s="6" t="s">
        <v>154</v>
      </c>
      <c r="R28" s="3" t="s">
        <v>44</v>
      </c>
      <c r="S28" s="6" t="s">
        <v>363</v>
      </c>
      <c r="T28" s="7" t="s">
        <v>364</v>
      </c>
      <c r="U28" s="6" t="s">
        <v>365</v>
      </c>
      <c r="V28" s="3" t="s">
        <v>366</v>
      </c>
      <c r="W28" s="3" t="s">
        <v>328</v>
      </c>
      <c r="X28" s="3" t="s">
        <v>297</v>
      </c>
      <c r="Y28" s="3" t="s">
        <v>329</v>
      </c>
      <c r="Z28" s="3" t="s">
        <v>330</v>
      </c>
      <c r="AA28" s="7" t="s">
        <v>53</v>
      </c>
    </row>
    <row r="29" customFormat="false" ht="120" hidden="false" customHeight="true" outlineLevel="0" collapsed="false">
      <c r="A29" s="2" t="s">
        <v>367</v>
      </c>
      <c r="B29" s="3" t="s">
        <v>28</v>
      </c>
      <c r="C29" s="3" t="s">
        <v>368</v>
      </c>
      <c r="D29" s="4" t="s">
        <v>30</v>
      </c>
      <c r="E29" s="3" t="s">
        <v>31</v>
      </c>
      <c r="F29" s="3" t="s">
        <v>32</v>
      </c>
      <c r="G29" s="3" t="s">
        <v>94</v>
      </c>
      <c r="H29" s="3" t="s">
        <v>95</v>
      </c>
      <c r="I29" s="3" t="s">
        <v>35</v>
      </c>
      <c r="J29" s="3" t="s">
        <v>36</v>
      </c>
      <c r="K29" s="5" t="s">
        <v>37</v>
      </c>
      <c r="L29" s="3" t="s">
        <v>369</v>
      </c>
      <c r="M29" s="3" t="s">
        <v>370</v>
      </c>
      <c r="N29" s="3" t="s">
        <v>371</v>
      </c>
      <c r="O29" s="3" t="s">
        <v>372</v>
      </c>
      <c r="P29" s="3" t="s">
        <v>373</v>
      </c>
      <c r="Q29" s="6" t="s">
        <v>81</v>
      </c>
      <c r="R29" s="3" t="s">
        <v>374</v>
      </c>
      <c r="S29" s="6" t="s">
        <v>375</v>
      </c>
      <c r="T29" s="7" t="s">
        <v>376</v>
      </c>
      <c r="U29" s="6" t="s">
        <v>224</v>
      </c>
      <c r="V29" s="3" t="s">
        <v>377</v>
      </c>
      <c r="W29" s="3" t="s">
        <v>378</v>
      </c>
      <c r="X29" s="3" t="s">
        <v>86</v>
      </c>
      <c r="Y29" s="3" t="s">
        <v>379</v>
      </c>
      <c r="Z29" s="3" t="s">
        <v>380</v>
      </c>
      <c r="AA29" s="7" t="s">
        <v>53</v>
      </c>
    </row>
    <row r="30" customFormat="false" ht="120" hidden="false" customHeight="true" outlineLevel="0" collapsed="false">
      <c r="A30" s="2" t="s">
        <v>381</v>
      </c>
      <c r="B30" s="3" t="s">
        <v>28</v>
      </c>
      <c r="C30" s="3" t="s">
        <v>382</v>
      </c>
      <c r="D30" s="10" t="s">
        <v>136</v>
      </c>
      <c r="E30" s="3" t="s">
        <v>137</v>
      </c>
      <c r="F30" s="3" t="s">
        <v>138</v>
      </c>
      <c r="G30" s="3" t="s">
        <v>33</v>
      </c>
      <c r="H30" s="3" t="s">
        <v>34</v>
      </c>
      <c r="I30" s="3" t="s">
        <v>193</v>
      </c>
      <c r="J30" s="3" t="s">
        <v>194</v>
      </c>
      <c r="K30" s="5" t="s">
        <v>37</v>
      </c>
      <c r="L30" s="3" t="s">
        <v>383</v>
      </c>
      <c r="M30" s="3" t="s">
        <v>384</v>
      </c>
      <c r="N30" s="3" t="s">
        <v>385</v>
      </c>
      <c r="O30" s="3" t="s">
        <v>386</v>
      </c>
      <c r="P30" s="3" t="s">
        <v>387</v>
      </c>
      <c r="Q30" s="6" t="s">
        <v>81</v>
      </c>
      <c r="R30" s="3" t="s">
        <v>374</v>
      </c>
      <c r="S30" s="6" t="s">
        <v>388</v>
      </c>
      <c r="T30" s="7" t="s">
        <v>389</v>
      </c>
      <c r="U30" s="6" t="s">
        <v>390</v>
      </c>
      <c r="V30" s="3" t="s">
        <v>391</v>
      </c>
      <c r="W30" s="3" t="s">
        <v>328</v>
      </c>
      <c r="X30" s="3" t="s">
        <v>88</v>
      </c>
      <c r="Y30" s="3" t="s">
        <v>392</v>
      </c>
      <c r="Z30" s="3" t="s">
        <v>393</v>
      </c>
      <c r="AA30" s="7" t="s">
        <v>53</v>
      </c>
    </row>
    <row r="31" customFormat="false" ht="120" hidden="false" customHeight="true" outlineLevel="0" collapsed="false">
      <c r="A31" s="2" t="s">
        <v>394</v>
      </c>
      <c r="B31" s="3" t="s">
        <v>28</v>
      </c>
      <c r="C31" s="3" t="s">
        <v>382</v>
      </c>
      <c r="D31" s="10" t="s">
        <v>136</v>
      </c>
      <c r="E31" s="3" t="s">
        <v>137</v>
      </c>
      <c r="F31" s="3" t="s">
        <v>138</v>
      </c>
      <c r="G31" s="3" t="s">
        <v>33</v>
      </c>
      <c r="H31" s="3" t="s">
        <v>34</v>
      </c>
      <c r="I31" s="3" t="s">
        <v>193</v>
      </c>
      <c r="J31" s="3" t="s">
        <v>194</v>
      </c>
      <c r="K31" s="5" t="s">
        <v>37</v>
      </c>
      <c r="L31" s="3" t="s">
        <v>395</v>
      </c>
      <c r="M31" s="3" t="s">
        <v>396</v>
      </c>
      <c r="N31" s="3" t="s">
        <v>397</v>
      </c>
      <c r="O31" s="3" t="s">
        <v>398</v>
      </c>
      <c r="P31" s="3" t="s">
        <v>399</v>
      </c>
      <c r="Q31" s="6" t="s">
        <v>81</v>
      </c>
      <c r="R31" s="3" t="s">
        <v>374</v>
      </c>
      <c r="S31" s="6" t="s">
        <v>400</v>
      </c>
      <c r="T31" s="7" t="s">
        <v>401</v>
      </c>
      <c r="U31" s="6" t="s">
        <v>402</v>
      </c>
      <c r="V31" s="3" t="s">
        <v>403</v>
      </c>
      <c r="W31" s="3" t="s">
        <v>328</v>
      </c>
      <c r="X31" s="3" t="s">
        <v>204</v>
      </c>
      <c r="Y31" s="3" t="s">
        <v>392</v>
      </c>
      <c r="Z31" s="3" t="s">
        <v>393</v>
      </c>
      <c r="AA31" s="7" t="s">
        <v>53</v>
      </c>
    </row>
    <row r="32" customFormat="false" ht="120" hidden="false" customHeight="true" outlineLevel="0" collapsed="false">
      <c r="A32" s="2" t="s">
        <v>404</v>
      </c>
      <c r="B32" s="3" t="s">
        <v>28</v>
      </c>
      <c r="C32" s="3" t="s">
        <v>382</v>
      </c>
      <c r="D32" s="10" t="s">
        <v>136</v>
      </c>
      <c r="E32" s="3" t="s">
        <v>137</v>
      </c>
      <c r="F32" s="3" t="s">
        <v>138</v>
      </c>
      <c r="G32" s="3" t="s">
        <v>33</v>
      </c>
      <c r="H32" s="3" t="s">
        <v>34</v>
      </c>
      <c r="I32" s="3" t="s">
        <v>59</v>
      </c>
      <c r="J32" s="3" t="s">
        <v>60</v>
      </c>
      <c r="K32" s="5" t="s">
        <v>37</v>
      </c>
      <c r="L32" s="3" t="s">
        <v>405</v>
      </c>
      <c r="M32" s="3" t="s">
        <v>406</v>
      </c>
      <c r="N32" s="3" t="s">
        <v>407</v>
      </c>
      <c r="O32" s="3" t="s">
        <v>408</v>
      </c>
      <c r="P32" s="3" t="s">
        <v>409</v>
      </c>
      <c r="Q32" s="6" t="s">
        <v>211</v>
      </c>
      <c r="R32" s="3" t="s">
        <v>374</v>
      </c>
      <c r="S32" s="6" t="s">
        <v>410</v>
      </c>
      <c r="T32" s="7" t="s">
        <v>411</v>
      </c>
      <c r="U32" s="6" t="s">
        <v>412</v>
      </c>
      <c r="V32" s="3" t="s">
        <v>391</v>
      </c>
      <c r="W32" s="3" t="s">
        <v>328</v>
      </c>
      <c r="X32" s="3" t="s">
        <v>204</v>
      </c>
      <c r="Y32" s="3" t="s">
        <v>392</v>
      </c>
      <c r="Z32" s="3" t="s">
        <v>393</v>
      </c>
      <c r="AA32" s="7" t="s">
        <v>53</v>
      </c>
    </row>
    <row r="33" customFormat="false" ht="120" hidden="false" customHeight="true" outlineLevel="0" collapsed="false">
      <c r="A33" s="2" t="s">
        <v>413</v>
      </c>
      <c r="B33" s="3" t="s">
        <v>28</v>
      </c>
      <c r="C33" s="3" t="s">
        <v>414</v>
      </c>
      <c r="D33" s="4" t="s">
        <v>30</v>
      </c>
      <c r="E33" s="3" t="s">
        <v>31</v>
      </c>
      <c r="F33" s="3" t="s">
        <v>32</v>
      </c>
      <c r="G33" s="3" t="s">
        <v>33</v>
      </c>
      <c r="H33" s="3" t="s">
        <v>34</v>
      </c>
      <c r="I33" s="3" t="s">
        <v>59</v>
      </c>
      <c r="J33" s="3" t="s">
        <v>60</v>
      </c>
      <c r="K33" s="5" t="s">
        <v>37</v>
      </c>
      <c r="L33" s="3" t="s">
        <v>415</v>
      </c>
      <c r="M33" s="3" t="s">
        <v>416</v>
      </c>
      <c r="N33" s="3" t="s">
        <v>417</v>
      </c>
      <c r="O33" s="3" t="s">
        <v>418</v>
      </c>
      <c r="P33" s="3" t="s">
        <v>419</v>
      </c>
      <c r="Q33" s="6" t="s">
        <v>130</v>
      </c>
      <c r="R33" s="3" t="s">
        <v>374</v>
      </c>
      <c r="S33" s="6" t="s">
        <v>420</v>
      </c>
      <c r="T33" s="7" t="s">
        <v>421</v>
      </c>
      <c r="U33" s="6" t="s">
        <v>422</v>
      </c>
      <c r="V33" s="3" t="s">
        <v>423</v>
      </c>
      <c r="W33" s="3" t="s">
        <v>106</v>
      </c>
      <c r="X33" s="3" t="s">
        <v>123</v>
      </c>
      <c r="Y33" s="3" t="s">
        <v>424</v>
      </c>
      <c r="Z33" s="3" t="s">
        <v>425</v>
      </c>
      <c r="AA33" s="7" t="s">
        <v>426</v>
      </c>
    </row>
  </sheetData>
  <hyperlinks>
    <hyperlink ref="T2" r:id="rId1" location="L236%20https://github.com/spencerwon/navanax1/blob/feat/phase0-ingestion/src/navanax/cli.py%23L50" display="https://github.com/spencerwon/navanax1/blob/feat/phase0-ingestion/tools/preflight.py#L236 https://github.com/spencerwon/navanax1/blob/feat/phase0-ingestion/src/navanax/cli.py#L50"/>
    <hyperlink ref="AA2" r:id="rId2" display="#1"/>
    <hyperlink ref="T3" r:id="rId3" location="L71%20https://github.com/spencerwon/navanax1/blob/feat/phase0-ingestion/tools/preflight.py%23L183" display="https://github.com/spencerwon/navanax1/blob/feat/phase0-ingestion/src/navanax/stream.py#L71 https://github.com/spencerwon/navanax1/blob/feat/phase0-ingestion/tools/preflight.py#L183"/>
    <hyperlink ref="AA3" r:id="rId4" display="#1"/>
    <hyperlink ref="T4" r:id="rId5" location="L22%20https://github.com/spencerwon/navanax1/blob/feat/phase0-ingestion/src/navanax/governor.py%23L1" display="https://github.com/spencerwon/navanax1/blob/feat/phase0-ingestion/config/base.yaml#L22 https://github.com/spencerwon/navanax1/blob/feat/phase0-ingestion/src/navanax/governor.py#L1"/>
    <hyperlink ref="AA4" r:id="rId6" display="#1"/>
    <hyperlink ref="T5" r:id="rId7" location="L30%20https://github.com/spencerwon/navanax1/blob/feat/phase0-ingestion/.github/workflows/ci.yml%23L1" display="https://github.com/spencerwon/navanax1/blob/feat/phase0-ingestion/pyproject.toml#L30 https://github.com/spencerwon/navanax1/blob/feat/phase0-ingestion/.github/workflows/ci.yml#L1"/>
    <hyperlink ref="AA5" r:id="rId8" display="#1"/>
    <hyperlink ref="T6" r:id="rId9" location="L256%20https://github.com/spencerwon/navanax1/blob/feat/phase0-ingestion/src/navanax/stream.py%23L343" display="https://github.com/spencerwon/navanax1/blob/feat/phase0-ingestion/src/navanax/stream.py#L256 https://github.com/spencerwon/navanax1/blob/feat/phase0-ingestion/src/navanax/stream.py#L343"/>
    <hyperlink ref="AA6" r:id="rId10" display="#1"/>
    <hyperlink ref="T7" r:id="rId11" location="L303" display="https://github.com/spencerwon/navanax1/blob/feat/phase0-ingestion/src/navanax/landing.py#L303"/>
    <hyperlink ref="AA7" r:id="rId12" display="#1"/>
    <hyperlink ref="T8" r:id="rId13" location="L402%20https://github.com/spencerwon/navanax1/blob/feat/phase0-ingestion/src/navanax/landing.py%23L358" display="https://github.com/spencerwon/navanax1/blob/feat/phase0-ingestion/src/navanax/landing.py#L402 https://github.com/spencerwon/navanax1/blob/feat/phase0-ingestion/src/navanax/landing.py#L358"/>
    <hyperlink ref="AA8" r:id="rId14" display="#1"/>
    <hyperlink ref="T9" r:id="rId15" location="L319" display="https://github.com/spencerwon/navanax1/blob/feat/phase0-ingestion/src/navanax/stream.py#L319"/>
    <hyperlink ref="AA9" r:id="rId16" display="#1"/>
    <hyperlink ref="T10" r:id="rId17" location="L149%20https://github.com/spencerwon/navanax1/blob/feat/phase0-ingestion/src/navanax/cli.py%23L45" display="https://github.com/spencerwon/navanax1/blob/feat/phase0-ingestion/src/navanax/opstore.py#L149 https://github.com/spencerwon/navanax1/blob/feat/phase0-ingestion/src/navanax/cli.py#L45"/>
    <hyperlink ref="AA10" r:id="rId18" display="#1"/>
    <hyperlink ref="T11" r:id="rId19" location="L160%20https://github.com/spencerwon/navanax1/blob/feat/phase0-ingestion/pyproject.toml%23L12" display="https://github.com/spencerwon/navanax1/blob/feat/phase0-ingestion/src/navanax/codec.py#L160 https://github.com/spencerwon/navanax1/blob/feat/phase0-ingestion/pyproject.toml#L12"/>
    <hyperlink ref="AA11" r:id="rId20" display="#1"/>
    <hyperlink ref="T12" r:id="rId21" location="L9" display="https://github.com/spencerwon/navanax1/blob/feat/phase0-ingestion/pyproject.toml#L9"/>
    <hyperlink ref="AA12" r:id="rId22" display="#1"/>
    <hyperlink ref="T13" r:id="rId23" location="L166%20https://github.com/spencerwon/navanax1/blob/feat/phase0-ingestion/src/navanax/governor.py%23L150" display="https://github.com/spencerwon/navanax1/blob/feat/phase0-ingestion/src/navanax/governor.py#L166 https://github.com/spencerwon/navanax1/blob/feat/phase0-ingestion/src/navanax/governor.py#L150"/>
    <hyperlink ref="AA13" r:id="rId24" display="#1"/>
    <hyperlink ref="T14" r:id="rId25" location="L436" display="https://github.com/spencerwon/navanax1/blob/feat/phase0-ingestion/src/navanax/stream.py#L436"/>
    <hyperlink ref="AA14" r:id="rId26" display="#1"/>
    <hyperlink ref="T15" r:id="rId27" location="L129%20https://github.com/spencerwon/navanax1/blob/feat/phase0-ingestion/README.md%23L33%20https://github.com/spencerwon/navanax1/blob/feat/phase0-ingestion/setup.command%23L48" display="https://github.com/spencerwon/navanax1/blob/feat/phase0-ingestion/tools/preflight.py#L129 https://github.com/spencerwon/navanax1/blob/feat/phase0-ingestion/README.md#L33 https://github.com/spencerwon/navanax1/blob/feat/phase0-ingestion/setup.command#L48"/>
    <hyperlink ref="AA15" r:id="rId28" display="#1"/>
    <hyperlink ref="T16" r:id="rId29" location="L22%20https://github.com/spencerwon/navanax1/blob/feat/phase0-ingestion/src/navanax/governor.py%23L84" display="https://github.com/spencerwon/navanax1/blob/feat/phase0-ingestion/config/base.yaml#L22 https://github.com/spencerwon/navanax1/blob/feat/phase0-ingestion/src/navanax/governor.py#L84"/>
    <hyperlink ref="AA16" r:id="rId30" display="#1"/>
    <hyperlink ref="T17" r:id="rId31" location="L175" display="https://github.com/spencerwon/navanax1/blob/feat/phase0-ingestion/src/navanax/governor.py#L175"/>
    <hyperlink ref="AA17" r:id="rId32" display="#1"/>
    <hyperlink ref="T18" r:id="rId33" location="L214%20https://github.com/spencerwon/navanax1/blob/feat/phase0-ingestion/src/navanax/landing.py%23L174" display="https://github.com/spencerwon/navanax1/blob/feat/phase0-ingestion/src/navanax/stream.py#L214 https://github.com/spencerwon/navanax1/blob/feat/phase0-ingestion/src/navanax/landing.py#L174"/>
    <hyperlink ref="AA18" r:id="rId34" display="#1"/>
    <hyperlink ref="T19" r:id="rId35" location="L519" display="https://github.com/spencerwon/navanax1/blob/feat/phase0-ingestion/src/navanax/stream.py#L519"/>
    <hyperlink ref="AA19" r:id="rId36" display="#1"/>
    <hyperlink ref="T20" r:id="rId37" location="L1" display="https://github.com/spencerwon/navanax1/blob/feat/phase0-ingestion/.github/workflows/ci.yml#L1"/>
    <hyperlink ref="AA20" r:id="rId38" display="#1"/>
    <hyperlink ref="T21" r:id="rId39" location="L608" display="https://github.com/spencerwon/navanax1/blob/feat/phase0-ingestion/src/navanax/landing.py#L608"/>
    <hyperlink ref="AA21" r:id="rId40" display="#1"/>
    <hyperlink ref="T22" r:id="rId41" location="L310%20https://github.com/spencerwon/navanax1/blob/feat/phase0-ingestion/src/navanax/stream.py%23L416" display="https://github.com/spencerwon/navanax1/blob/feat/phase0-ingestion/src/navanax/landing.py#L310 https://github.com/spencerwon/navanax1/blob/feat/phase0-ingestion/src/navanax/stream.py#L416"/>
    <hyperlink ref="AA22" r:id="rId42" display="#1"/>
    <hyperlink ref="T23" r:id="rId43" location="L116%20https://github.com/spencerwon/navanax1/blob/feat/phase0-ingestion/src/navanax/cli.py%23L51" display="https://github.com/spencerwon/navanax1/blob/feat/phase0-ingestion/src/navanax/landing.py#L116 https://github.com/spencerwon/navanax1/blob/feat/phase0-ingestion/src/navanax/cli.py#L51"/>
    <hyperlink ref="AA23" r:id="rId44" display="#1"/>
    <hyperlink ref="T24" r:id="rId45" location="L486%20https://github.com/spencerwon/navanax1/blob/feat/phase0-ingestion/src/navanax/landing.py%23L447" display="https://github.com/spencerwon/navanax1/blob/feat/phase0-ingestion/src/navanax/stream.py#L486 https://github.com/spencerwon/navanax1/blob/feat/phase0-ingestion/src/navanax/landing.py#L447"/>
    <hyperlink ref="AA24" r:id="rId46" display="#1"/>
    <hyperlink ref="T25" r:id="rId47" location="L171%20https://github.com/spencerwon/navanax1/blob/feat/phase0-ingestion/src/navanax/codec.py%23L366" display="https://github.com/spencerwon/navanax1/blob/feat/phase0-ingestion/src/navanax/codec.py#L171 https://github.com/spencerwon/navanax1/blob/feat/phase0-ingestion/src/navanax/codec.py#L366"/>
    <hyperlink ref="AA25" r:id="rId48" display="#1"/>
    <hyperlink ref="T26" r:id="rId49" location="L291" display="https://github.com/spencerwon/navanax1/blob/feat/phase0-ingestion/src/navanax/stream.py#L291"/>
    <hyperlink ref="AA26" r:id="rId50" display="#1"/>
    <hyperlink ref="T27" r:id="rId51" location="L232" display="https://github.com/spencerwon/navanax1/blob/feat/phase0-ingestion/src/navanax/stream.py#L232"/>
    <hyperlink ref="AA27" r:id="rId52" display="#1"/>
    <hyperlink ref="T28" r:id="rId53" location="L64" display="https://github.com/spencerwon/navanax1/blob/feat/phase0-ingestion/src/navanax/cli.py#L64"/>
    <hyperlink ref="AA28" r:id="rId54" display="#1"/>
    <hyperlink ref="T29" r:id="rId55" location="L18%20https://github.com/spencerwon/navanax1/blob/tester/.claude/agents/research.md%23L18%20https://github.com/spencerwon/navanax1/blob/tester/.claude/agents/orchestrator.md%23L47%20https://github.com/spencerwon/navanax1/blob/tester/.claude/agents/build-r" display="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hyperlink ref="AA29" r:id="rId56" display="#1"/>
    <hyperlink ref="T30" r:id="rId57" location="L22%20https://github.com/spencerwon/navanax1/blob/tester/src/navanax/governor.py%23L169" display="https://github.com/spencerwon/navanax1/blob/tester/config/base.yaml#L22 https://github.com/spencerwon/navanax1/blob/tester/src/navanax/governor.py#L169"/>
    <hyperlink ref="AA30" r:id="rId58" display="#1"/>
    <hyperlink ref="T31" r:id="rId59" location="L217%20https://github.com/spencerwon/navanax1/blob/tester/src/navanax/governor.py%23L360" display="https://github.com/spencerwon/navanax1/blob/tester/src/navanax/governor.py#L217 https://github.com/spencerwon/navanax1/blob/tester/src/navanax/governor.py#L360"/>
    <hyperlink ref="AA31" r:id="rId60" display="#1"/>
    <hyperlink ref="T32" r:id="rId61" location="L208%20https://github.com/spencerwon/navanax1/blob/tester/src/navanax/cli.py%23L194" display="https://github.com/spencerwon/navanax1/blob/tester/src/navanax/opstore.py#L208 https://github.com/spencerwon/navanax1/blob/tester/src/navanax/cli.py#L194"/>
    <hyperlink ref="AA32" r:id="rId62" display="#1"/>
    <hyperlink ref="T33" r:id="rId63" location="L150%20https://github.com/spencerwon/navanax1/blob/tester/src/navanax/codec.py%23L168%20https://github.com/spencerwon/navanax1/blob/tester/src/navanax/codec.py%23L300" display="https://github.com/spencerwon/navanax1/blob/tester/src/navanax/codec.py#L150 https://github.com/spencerwon/navanax1/blob/tester/src/navanax/codec.py#L168 https://github.com/spencerwon/navanax1/blob/tester/src/navanax/codec.py#L300"/>
    <hyperlink ref="AA33" r:id="rId64" display="#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65"/>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34"/>
    <col collapsed="false" customWidth="true" hidden="false" outlineLevel="0" max="4" min="4" style="0" width="12"/>
    <col collapsed="false" customWidth="true" hidden="false" outlineLevel="0" max="5" min="5" style="0" width="10"/>
  </cols>
  <sheetData>
    <row r="1" customFormat="false" ht="15" hidden="false" customHeight="false" outlineLevel="0" collapsed="false">
      <c r="A1" s="11" t="s">
        <v>427</v>
      </c>
    </row>
    <row r="2" customFormat="false" ht="33.75" hidden="false" customHeight="true" outlineLevel="0" collapsed="false">
      <c r="A2" s="12" t="s">
        <v>428</v>
      </c>
      <c r="B2" s="12"/>
      <c r="C2" s="12"/>
      <c r="D2" s="12"/>
      <c r="E2" s="12"/>
    </row>
    <row r="4" customFormat="false" ht="15" hidden="false" customHeight="false" outlineLevel="0" collapsed="false">
      <c r="A4" s="13" t="s">
        <v>3</v>
      </c>
      <c r="B4" s="13" t="s">
        <v>429</v>
      </c>
      <c r="C4" s="13" t="s">
        <v>5</v>
      </c>
      <c r="D4" s="13" t="s">
        <v>430</v>
      </c>
      <c r="E4" s="13" t="s">
        <v>431</v>
      </c>
    </row>
    <row r="5" customFormat="false" ht="15" hidden="false" customHeight="false" outlineLevel="0" collapsed="false">
      <c r="A5" s="14" t="s">
        <v>432</v>
      </c>
      <c r="B5" s="15" t="s">
        <v>433</v>
      </c>
      <c r="C5" s="15" t="s">
        <v>434</v>
      </c>
      <c r="D5" s="15" t="n">
        <f aca="false">COUNTIFS('Bug log'!$D$2:$D$33,$A5,'Bug log'!$K$2:$K$33,"&lt;&gt;fixed")</f>
        <v>0</v>
      </c>
      <c r="E5" s="15" t="n">
        <f aca="false">COUNTIF('Bug log'!$D$2:$D$33,$A5)</f>
        <v>0</v>
      </c>
    </row>
    <row r="6" customFormat="false" ht="15" hidden="false" customHeight="false" outlineLevel="0" collapsed="false">
      <c r="A6" s="16" t="s">
        <v>435</v>
      </c>
      <c r="B6" s="15" t="s">
        <v>436</v>
      </c>
      <c r="C6" s="15" t="s">
        <v>437</v>
      </c>
      <c r="D6" s="15" t="n">
        <f aca="false">COUNTIFS('Bug log'!$D$2:$D$33,$A6,'Bug log'!$K$2:$K$33,"&lt;&gt;fixed")</f>
        <v>0</v>
      </c>
      <c r="E6" s="15" t="n">
        <f aca="false">COUNTIF('Bug log'!$D$2:$D$33,$A6)</f>
        <v>0</v>
      </c>
    </row>
    <row r="7" customFormat="false" ht="15" hidden="false" customHeight="false" outlineLevel="0" collapsed="false">
      <c r="A7" s="17" t="s">
        <v>30</v>
      </c>
      <c r="B7" s="15" t="s">
        <v>31</v>
      </c>
      <c r="C7" s="15" t="s">
        <v>32</v>
      </c>
      <c r="D7" s="15" t="n">
        <f aca="false">COUNTIFS('Bug log'!$D$2:$D$33,$A7,'Bug log'!$K$2:$K$33,"&lt;&gt;fixed")</f>
        <v>0</v>
      </c>
      <c r="E7" s="15" t="n">
        <f aca="false">COUNTIF('Bug log'!$D$2:$D$33,$A7)</f>
        <v>18</v>
      </c>
    </row>
    <row r="8" customFormat="false" ht="15" hidden="false" customHeight="false" outlineLevel="0" collapsed="false">
      <c r="A8" s="18" t="s">
        <v>136</v>
      </c>
      <c r="B8" s="15" t="s">
        <v>137</v>
      </c>
      <c r="C8" s="15" t="s">
        <v>138</v>
      </c>
      <c r="D8" s="15" t="n">
        <f aca="false">COUNTIFS('Bug log'!$D$2:$D$33,$A8,'Bug log'!$K$2:$K$33,"&lt;&gt;fixed")</f>
        <v>0</v>
      </c>
      <c r="E8" s="15" t="n">
        <f aca="false">COUNTIF('Bug log'!$D$2:$D$33,$A8)</f>
        <v>7</v>
      </c>
    </row>
    <row r="9" customFormat="false" ht="15" hidden="false" customHeight="false" outlineLevel="0" collapsed="false">
      <c r="A9" s="19" t="s">
        <v>56</v>
      </c>
      <c r="B9" s="15" t="s">
        <v>57</v>
      </c>
      <c r="C9" s="15" t="s">
        <v>58</v>
      </c>
      <c r="D9" s="15" t="n">
        <f aca="false">COUNTIFS('Bug log'!$D$2:$D$33,$A9,'Bug log'!$K$2:$K$33,"&lt;&gt;fixed")</f>
        <v>0</v>
      </c>
      <c r="E9" s="15" t="n">
        <f aca="false">COUNTIF('Bug log'!$D$2:$D$33,$A9)</f>
        <v>6</v>
      </c>
    </row>
    <row r="10" customFormat="false" ht="15" hidden="false" customHeight="false" outlineLevel="0" collapsed="false">
      <c r="A10" s="20" t="s">
        <v>91</v>
      </c>
      <c r="B10" s="15" t="s">
        <v>92</v>
      </c>
      <c r="C10" s="15" t="s">
        <v>93</v>
      </c>
      <c r="D10" s="15" t="n">
        <f aca="false">COUNTIFS('Bug log'!$D$2:$D$33,$A10,'Bug log'!$K$2:$K$33,"&lt;&gt;fixed")</f>
        <v>0</v>
      </c>
      <c r="E10" s="15" t="n">
        <f aca="false">COUNTIF('Bug log'!$D$2:$D$33,$A10)</f>
        <v>1</v>
      </c>
    </row>
    <row r="12" customFormat="false" ht="15" hidden="false" customHeight="false" outlineLevel="0" collapsed="false">
      <c r="A12" s="21" t="s">
        <v>6</v>
      </c>
    </row>
    <row r="13" customFormat="false" ht="15" hidden="false" customHeight="false" outlineLevel="0" collapsed="false">
      <c r="A13" s="22" t="s">
        <v>33</v>
      </c>
      <c r="B13" s="15" t="s">
        <v>34</v>
      </c>
    </row>
    <row r="14" customFormat="false" ht="15" hidden="false" customHeight="false" outlineLevel="0" collapsed="false">
      <c r="A14" s="22" t="s">
        <v>94</v>
      </c>
      <c r="B14" s="15" t="s">
        <v>95</v>
      </c>
    </row>
    <row r="15" customFormat="false" ht="15" hidden="false" customHeight="false" outlineLevel="0" collapsed="false">
      <c r="A15" s="22" t="s">
        <v>228</v>
      </c>
      <c r="B15" s="15" t="s">
        <v>229</v>
      </c>
    </row>
    <row r="16" customFormat="false" ht="15" hidden="false" customHeight="false" outlineLevel="0" collapsed="false">
      <c r="A16" s="22" t="s">
        <v>240</v>
      </c>
      <c r="B16" s="15" t="s">
        <v>93</v>
      </c>
    </row>
    <row r="18" customFormat="false" ht="15" hidden="false" customHeight="false" outlineLevel="0" collapsed="false">
      <c r="A18" s="21" t="s">
        <v>438</v>
      </c>
    </row>
    <row r="19" customFormat="false" ht="15" hidden="false" customHeight="false" outlineLevel="0" collapsed="false">
      <c r="A19" s="22" t="s">
        <v>35</v>
      </c>
      <c r="B19" s="15" t="s">
        <v>36</v>
      </c>
    </row>
    <row r="20" customFormat="false" ht="15" hidden="false" customHeight="false" outlineLevel="0" collapsed="false">
      <c r="A20" s="22" t="s">
        <v>59</v>
      </c>
      <c r="B20" s="15" t="s">
        <v>60</v>
      </c>
    </row>
    <row r="21" customFormat="false" ht="15" hidden="false" customHeight="false" outlineLevel="0" collapsed="false">
      <c r="A21" s="22" t="s">
        <v>439</v>
      </c>
      <c r="B21" s="15" t="s">
        <v>440</v>
      </c>
    </row>
    <row r="22" customFormat="false" ht="15" hidden="false" customHeight="false" outlineLevel="0" collapsed="false">
      <c r="A22" s="22" t="s">
        <v>441</v>
      </c>
      <c r="B22" s="15" t="s">
        <v>442</v>
      </c>
    </row>
    <row r="23" customFormat="false" ht="15" hidden="false" customHeight="false" outlineLevel="0" collapsed="false">
      <c r="A23" s="22" t="s">
        <v>193</v>
      </c>
      <c r="B23" s="15" t="s">
        <v>194</v>
      </c>
    </row>
    <row r="24" customFormat="false" ht="15" hidden="false" customHeight="false" outlineLevel="0" collapsed="false">
      <c r="A24" s="22" t="s">
        <v>250</v>
      </c>
      <c r="B24" s="15" t="s">
        <v>251</v>
      </c>
    </row>
    <row r="25" customFormat="false" ht="15" hidden="false" customHeight="false" outlineLevel="0" collapsed="false">
      <c r="A25" s="22" t="s">
        <v>443</v>
      </c>
      <c r="B25" s="15" t="s">
        <v>444</v>
      </c>
    </row>
    <row r="26" customFormat="false" ht="15" hidden="false" customHeight="false" outlineLevel="0" collapsed="false">
      <c r="A26" s="22" t="s">
        <v>263</v>
      </c>
      <c r="B26" s="15" t="s">
        <v>264</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8"/>
  </cols>
  <sheetData>
    <row r="1" customFormat="false" ht="15" hidden="false" customHeight="false" outlineLevel="0" collapsed="false">
      <c r="A1" s="22" t="s">
        <v>445</v>
      </c>
    </row>
    <row r="2" customFormat="false" ht="15" hidden="false" customHeight="false" outlineLevel="0" collapsed="false">
      <c r="A2" s="15"/>
    </row>
    <row r="3" customFormat="false" ht="15" hidden="false" customHeight="false" outlineLevel="0" collapsed="false">
      <c r="A3" s="15" t="s">
        <v>446</v>
      </c>
    </row>
    <row r="4" customFormat="false" ht="15" hidden="false" customHeight="false" outlineLevel="0" collapsed="false">
      <c r="A4" s="15" t="s">
        <v>447</v>
      </c>
    </row>
    <row r="5" customFormat="false" ht="15" hidden="false" customHeight="false" outlineLevel="0" collapsed="false">
      <c r="A5" s="15" t="s">
        <v>448</v>
      </c>
    </row>
    <row r="6" customFormat="false" ht="15" hidden="false" customHeight="false" outlineLevel="0" collapsed="false">
      <c r="A6" s="15" t="s">
        <v>449</v>
      </c>
    </row>
    <row r="7" customFormat="false" ht="15" hidden="false" customHeight="false" outlineLevel="0" collapsed="false">
      <c r="A7" s="15"/>
    </row>
    <row r="8" customFormat="false" ht="15" hidden="false" customHeight="false" outlineLevel="0" collapsed="false">
      <c r="A8" s="15" t="s">
        <v>450</v>
      </c>
    </row>
    <row r="9" customFormat="false" ht="15" hidden="false" customHeight="false" outlineLevel="0" collapsed="false">
      <c r="A9" s="15" t="s">
        <v>451</v>
      </c>
    </row>
    <row r="10" customFormat="false" ht="15" hidden="false" customHeight="false" outlineLevel="0" collapsed="false">
      <c r="A10" s="15"/>
    </row>
    <row r="11" customFormat="false" ht="15" hidden="false" customHeight="false" outlineLevel="0" collapsed="false">
      <c r="A11" s="15" t="s">
        <v>452</v>
      </c>
    </row>
    <row r="12" customFormat="false" ht="15" hidden="false" customHeight="false" outlineLevel="0" collapsed="false">
      <c r="A12" s="15" t="s">
        <v>453</v>
      </c>
    </row>
    <row r="13" customFormat="false" ht="15" hidden="false" customHeight="false" outlineLevel="0" collapsed="false">
      <c r="A13" s="15" t="s">
        <v>454</v>
      </c>
    </row>
    <row r="14" customFormat="false" ht="15" hidden="false" customHeight="false" outlineLevel="0" collapsed="false">
      <c r="A14" s="15" t="s">
        <v>455</v>
      </c>
    </row>
    <row r="15" customFormat="false" ht="15" hidden="false" customHeight="false" outlineLevel="0" collapsed="false">
      <c r="A15" s="15" t="s">
        <v>456</v>
      </c>
    </row>
    <row r="16" customFormat="false" ht="15" hidden="false" customHeight="false" outlineLevel="0" collapsed="false">
      <c r="A16" s="15"/>
    </row>
    <row r="17" customFormat="false" ht="15" hidden="false" customHeight="false" outlineLevel="0" collapsed="false">
      <c r="A17" s="15" t="s">
        <v>457</v>
      </c>
    </row>
    <row r="18" customFormat="false" ht="15" hidden="false" customHeight="false" outlineLevel="0" collapsed="false">
      <c r="A18" s="15" t="s">
        <v>458</v>
      </c>
    </row>
    <row r="19" customFormat="false" ht="15" hidden="false" customHeight="false" outlineLevel="0" collapsed="false">
      <c r="A19" s="15" t="s">
        <v>459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2026-09-09T09:52:07Z</dcterms:created>
  <dc:creator>openpyxl</dc:creator>
  <dc:description/>
  <dc:language>en-US</dc:language>
  <cp:lastModifiedBy/>
  <dcterms:modified xsi:type="dcterms:W3CDTF">2026-09-09T09:52:07Z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