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<sst xmlns="http://schemas.openxmlformats.org/spreadsheetml/2006/main" count="1031" uniqueCount="498">
  <si>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</si>
  <si>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</si>
  <si>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</si>
  <si>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</si>
  <si>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</si>
  <si>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</si>
  <si>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</si>
  <si>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</si>
  <si>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</si>
  <si>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</si>
  <si>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</si>
  <si>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</si>
  <si>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</si>
  <si>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</si>
  <si>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</si>
  <si>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</si>
  <si>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</si>
  <si>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</si>
  <si>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</si>
  <si>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</si>
  <si>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</si>
  <si>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</si>
  <si>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</si>
  <si>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</si>
  <si>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</si>
  <si>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</si>
  <si>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</si>
  <si>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</si>
  <si>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</si>
  <si>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</si>
  <si>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</si>
  <si>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</si>
  <si>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</si>
  <si>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</si>
  <si>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</si>
  <si>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</si>
  <si>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</si>
  <si>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</si>
  <si>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</si>
  <si>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</si>
  <si>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</si>
  <si>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</si>
  <si>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</si>
  <si>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</si>
  <si>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</si>
  <si>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</si>
  <si>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</si>
  <si>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</si>
  <si>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</si>
  <si>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</si>
  <si>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</si>
  <si>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</si>
  <si>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</si>
  <si>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</si>
  <si>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</si>
  <si>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</si>
  <si>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</si>
  <si>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</si>
  <si>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</si>
  <si>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</si>
  <si>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</si>
  <si>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</si>
  <si>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</si>
  <si>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</si>
  <si>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</si>
  <si>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</si>
  <si>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</si>
  <si>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</si>
  <si>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</si>
  <si>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</si>
  <si>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</si>
  <si>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</si>
  <si>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</si>
  <si>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</si>
  <si>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</si>
  <si>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</si>
  <si>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</si>
  <si>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</si>
  <si>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</si>
  <si>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</si>
  <si>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</si>
  <si>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</si>
  <si>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</si>
  <si>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</si>
  <si>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</si>
  <si>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</si>
  <si>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</si>
  <si>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</si>
  <si>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</si>
  <si>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</si>
  <si>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</si>
  <si>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</si>
  <si>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</si>
  <si>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</si>
  <si>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</si>
  <si>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</si>
  <si>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</si>
  <si>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</si>
  <si>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</si>
  <si>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</si>
  <si>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</si>
  <si>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</si>
  <si>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</si>
  <si>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</si>
  <si>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</si>
  <si>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</si>
  <si>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</si>
  <si>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</si>
  <si>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</si>
  <si>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</si>
  <si>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</si>
  <si>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</si>
  <si>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</si>
  <si>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</si>
  <si>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</si>
  <si>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</si>
  <si>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</si>
  <si>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</si>
  <si>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</si>
  <si>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</si>
  <si>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</si>
  <si>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</si>
  <si>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</si>
  <si>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</si>
  <si>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</si>
  <si>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</si>
  <si>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</si>
  <si>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</si>
  <si>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</si>
  <si>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</si>
  <si>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</si>
  <si>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</si>
  <si>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</si>
  <si>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</si>
  <si>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</si>
  <si>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</si>
  <si>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</si>
  <si>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</si>
  <si>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</si>
  <si>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</si>
  <si>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</si>
  <si>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</si>
  <si>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</si>
  <si>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</si>
  <si>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</si>
  <si>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</si>
  <si>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</si>
  <si>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</si>
  <si>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</si>
  <si>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</si>
  <si>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</si>
  <si>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</si>
  <si>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</si>
  <si>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</si>
  <si>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</si>
  <si>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</si>
  <si>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</si>
  <si>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</si>
  <si>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</si>
  <si>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</si>
  <si>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</si>
  <si>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</si>
  <si>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</si>
  <si>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</si>
  <si>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</si>
  <si>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</si>
  <si>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</si>
  <si>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</si>
  <si>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</si>
  <si>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</si>
  <si>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</si>
  <si>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</si>
  <si>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</si>
  <si>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</si>
  <si>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</si>
  <si>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</si>
  <si>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</si>
  <si>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</si>
  <si>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</si>
  <si>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</si>
  <si>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</si>
  <si>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</si>
  <si>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</si>
  <si>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</si>
  <si>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</si>
  <si>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</si>
  <si>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</si>
  <si>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</si>
  <si>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</si>
  <si>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</si>
  <si>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</si>
  <si>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</si>
  <si>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</si>
  <si>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</si>
  <si>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</si>
  <si>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</si>
  <si>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</si>
  <si>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</si>
  <si>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</si>
  <si>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</si>
  <si>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</si>
  <si>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</si>
  <si>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tests/selftest.py::test_governor_recovers_from_a_429</t>
  </si>
  <si>
    <t xml:space="preserve">validator agent (opus), first review; re-confirmed and escalated in the second</t>
  </si>
  <si>
    <t xml:space="preserve">2026-09-09T11:20:00-05:00</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</si>
  <si>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</si>
  <si>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</si>
  <si>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</si>
  <si>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</si>
  <si>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</si>
  <si>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</si>
  <si>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</si>
  <si>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</si>
  <si>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</si>
  <si>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tests/selftest.py::test_gaps_are_labelled_by_what_can_actually_be_recovered</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</si>
  <si>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</si>
  <si>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</si>
  <si>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</si>
  <si>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</si>
  <si>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</si>
  <si>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</si>
  <si>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</si>
  <si>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</si>
  <si>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</si>
  <si>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</si>
  <si>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</si>
  <si>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</si>
  <si>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</si>
  <si>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</si>
  <si>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</si>
  <si>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</si>
  <si>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</si>
  <si>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</si>
  <si>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</si>
  <si>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</si>
  <si>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</si>
  <si>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</si>
  <si>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</si>
  <si>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</si>
  <si>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</si>
  <si>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</si>
  <si>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</si>
  <si>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</si>
  <si>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</si>
  <si>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</si>
  <si>
    <t xml:space="preserve">No test asserts ordering between priorities under contention.</t>
  </si>
  <si>
    <t xml:space="preserve">src/navanax/governor.py:L175</t>
  </si>
  <si>
    <t xml:space="preserve">https://github.com/spencerwon/navanax1/blob/feat/phase0-ingestion/src/navanax/governor.py#L175</t>
  </si>
  <si>
    <t xml:space="preserve">tests/selftest.py::test_dead_priority_queue_is_gone</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</si>
  <si>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</si>
  <si>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</si>
  <si>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</si>
  <si>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</si>
  <si>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</si>
  <si>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</si>
  <si>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</si>
  <si>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</si>
  <si>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</si>
  <si>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</si>
  <si>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</si>
  <si>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tests/selftest.py::test_missing_event_timestamp_is_counted</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</si>
  <si>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</si>
  <si>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</si>
  <si>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</si>
  <si>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</si>
  <si>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</si>
  <si>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</si>
  <si>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</si>
  <si>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</si>
  <si>
    <t xml:space="preserve">No test injects a writer failure.</t>
  </si>
  <si>
    <t xml:space="preserve">src/navanax/stream.py:L519</t>
  </si>
  <si>
    <t xml:space="preserve">https://github.com/spencerwon/navanax1/blob/feat/phase0-ingestion/src/navanax/stream.py#L519</t>
  </si>
  <si>
    <t xml:space="preserve">tests/selftest.py::test_disk_failure_is_not_blamed_on_the_stream</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</si>
  <si>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</si>
  <si>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</si>
  <si>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</si>
  <si>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</si>
  <si>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</si>
  <si>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</si>
  <si>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</si>
  <si>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</si>
  <si>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</si>
  <si>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</si>
  <si>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</si>
  <si>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</si>
  <si>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</si>
  <si>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</si>
  <si>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</si>
  <si>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</si>
  <si>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</si>
  <si>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</si>
  <si>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</si>
  <si>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</si>
  <si>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</si>
  <si>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</si>
  <si>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</si>
  <si>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</si>
  <si>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</si>
  <si>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</si>
  <si>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</si>
  <si>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</si>
  <si>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</si>
  <si>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</si>
  <si>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</si>
  <si>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</si>
  <si>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</si>
  <si>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</si>
  <si>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</si>
  <si>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</si>
  <si>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</si>
  <si>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</si>
  <si>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</si>
  <si>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</si>
  <si>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</si>
  <si>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</si>
  <si>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</si>
  <si>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</si>
  <si>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</si>
  <si>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</si>
  <si>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</si>
  <si>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</si>
  <si>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</si>
  <si>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</si>
  <si>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</si>
  <si>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</si>
  <si>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</si>
  <si>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</si>
  <si>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</si>
  <si>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</si>
  <si>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</si>
  <si>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</si>
  <si>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</si>
  <si>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</si>
  <si>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</si>
  <si>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</si>
  <si>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</si>
  <si>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</si>
  <si>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</si>
  <si>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</si>
  <si>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</si>
  <si>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</si>
  <si>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</si>
  <si>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</si>
  <si>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</si>
  <si>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</si>
  <si>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</si>
  <si>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</si>
  <si>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</si>
  <si>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</si>
  <si>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</si>
  <si>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</si>
  <si>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</si>
  <si>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</si>
  <si>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</si>
  <si>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</si>
  <si>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</si>
  <si>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</si>
  <si>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</si>
  <si>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</si>
  <si>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</si>
  <si>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</si>
  <si>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</si>
  <si>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</si>
  <si>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</si>
  <si>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</si>
  <si>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</si>
  <si>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</si>
  <si>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</si>
  <si>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</si>
  <si>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</si>
  <si>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</si>
  <si>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</si>
  <si>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</si>
  <si>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</si>
  <si>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</si>
  <si>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</si>
  <si>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</si>
  <si>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</si>
  <si>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</si>
  <si>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</si>
  <si>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</si>
  <si>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BUG-20260909-029</t>
  </si>
  <si>
    <t xml:space="preserve">11:40:00</t>
  </si>
  <si>
    <t xml:space="preserve">config/base.yaml said the governor reads x-ratelimit-limit and adapts; nothing read it</t>
  </si>
  <si>
    <t xml:space="preserve">The config comment was written from the design, not from the code.</t>
  </si>
  <si>
    <t xml:space="preserve">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</si>
  <si>
    <t xml:space="preserve">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</si>
  <si>
    <t xml:space="preserve">No test asserted that any header changed capacity. The qa-auditor's numbers check compares values, not claimed mechanisms.</t>
  </si>
  <si>
    <t xml:space="preserve">config/base.yaml:L22  ·  src/navanax/governor.py:L169</t>
  </si>
  <si>
    <t xml:space="preserve">https://github.com/spencerwon/navanax1/blob/tester/config/base.yaml#L22 https://github.com/spencerwon/navanax1/blob/tester/src/navanax/governor.py#L169</t>
  </si>
  <si>
    <t xml:space="preserve">tests/selftest.py::test_governor_adapts_capacity_from_server</t>
  </si>
  <si>
    <t xml:space="preserve">tech-lead agent (opus), third gate review</t>
  </si>
  <si>
    <t xml:space="preserve">2026-09-09T11:40:00-05:00</t>
  </si>
  <si>
    <t xml:space="preserve">2026-09-09T12:00:00-05:00</t>
  </si>
  <si>
    <t xml:space="preserve">BUG-20260909-030</t>
  </si>
  <si>
    <t xml:space="preserve">BUG-012's fix discarded a truthful "remaining 0" reported on a successful response</t>
  </si>
  <si>
    <t xml:space="preserve">One field carried two meanings -- a ceiling WE imposed after a 429, and one the SERVER reported -- and the fix lifted both. The first attempt at fixing this made the block expiry do the same thing, which the pre-existing test caught.</t>
  </si>
  <si>
    <t xml:space="preserve">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</si>
  <si>
    <t xml:space="preserve">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</si>
  <si>
    <t xml:space="preserve">BUG-012's test asserted recovery and never asserted that the server's own 'no' was still honoured.</t>
  </si>
  <si>
    <t xml:space="preserve">src/navanax/governor.py:L217  ·  src/navanax/governor.py:L360</t>
  </si>
  <si>
    <t xml:space="preserve">https://github.com/spencerwon/navanax1/blob/tester/src/navanax/governor.py#L217 https://github.com/spencerwon/navanax1/blob/tester/src/navanax/governor.py#L360</t>
  </si>
  <si>
    <t xml:space="preserve">tests/selftest.py::test_truthful_zero_remaining_is_not_discarded</t>
  </si>
  <si>
    <t xml:space="preserve">tech-lead agent (opus), third gate review; the pre-existing 'server header caps local optimism' assertion caught the first attempt at the fix</t>
  </si>
  <si>
    <t xml:space="preserve">BUG-20260909-031</t>
  </si>
  <si>
    <t xml:space="preserve">BUG-013 redefined backfillable and made the backfill worklist permanently empty</t>
  </si>
  <si>
    <t xml:space="preserve">A field's meaning changed and one of its readers was not revisited.</t>
  </si>
  <si>
    <t xml:space="preserve">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</si>
  <si>
    <t xml:space="preserve">The gap register now carries backfillable_classes and irrecoverable_classes (with an in-place migration for existing stores). unbackfilled_gaps() returns closed, un-backfilled gaps with at least one recoverable class -- the question a backfiller actually asks.</t>
  </si>
  <si>
    <t xml:space="preserve">No test asserted what `navanax status` shows after a real reconnect gap.</t>
  </si>
  <si>
    <t xml:space="preserve">src/navanax/opstore.py:L208  ·  src/navanax/cli.py:L194</t>
  </si>
  <si>
    <t xml:space="preserve">https://github.com/spencerwon/navanax1/blob/tester/src/navanax/opstore.py#L208 https://github.com/spencerwon/navanax1/blob/tester/src/navanax/cli.py#L194</t>
  </si>
  <si>
    <t xml:space="preserve">tests/selftest.py::test_backfill_worklist_is_not_vacuous</t>
  </si>
  <si>
    <t xml:space="preserve">BUG-20260909-032</t>
  </si>
  <si>
    <t xml:space="preserve">12:10:00</t>
  </si>
  <si>
    <t xml:space="preserve">First real-zstandard CI run turned the codec gate red -- the gate's "last frame" heuristic assumed gzip's writer behaviour, and the frame walk still guessed boundaries by magic scanning</t>
  </si>
  <si>
    <t xml:space="preserve">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</si>
  <si>
    <t xml:space="preserve">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</si>
  <si>
    <t xml:space="preserve">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</si>
  <si>
    <t xml:space="preserve">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</si>
  <si>
    <t xml:space="preserve">src/navanax/codec.py:L150  ·  src/navanax/codec.py:L168  ·  src/navanax/codec.py:L300</t>
  </si>
  <si>
    <t xml:space="preserve">https://github.com/spencerwon/navanax1/blob/tester/src/navanax/codec.py#L150 https://github.com/spencerwon/navanax1/blob/tester/src/navanax/codec.py#L168 https://github.com/spencerwon/navanax1/blob/tester/src/navanax/codec.py#L300</t>
  </si>
  <si>
    <t xml:space="preserve">tests/selftest.py::test_startup_gate_refuses_a_lying_codec</t>
  </si>
  <si>
    <t xml:space="preserve">GitHub Actions CI on the tester branch -- the first time the production codec was ever executed by anything</t>
  </si>
  <si>
    <t xml:space="preserve">2026-09-09T12:10:00-05:00</t>
  </si>
  <si>
    <t xml:space="preserve">2026-09-09T12:40:00-05:00</t>
  </si>
  <si>
    <t xml:space="preserve">#2</t>
  </si>
  <si>
    <t xml:space="preserve">BUG-20260909-033</t>
  </si>
  <si>
    <t xml:space="preserve">13:05:00</t>
  </si>
  <si>
    <t xml:space="preserve">SEC</t>
  </si>
  <si>
    <t xml:space="preserve">Security</t>
  </si>
  <si>
    <t xml:space="preserve">The REQ-N-11 credential gate fired on a 14-character test placeholder the first time it ever ran</t>
  </si>
  <si>
    <t xml:space="preserve">A one-line grep matching NAME=&lt;any alphanumeric&gt;. It could not distinguish a placeholder from a key because it never asked what a key looks like. Written in the same sitting as the rest of ci.yml and, like the pytest step (BUG-019), never run end to end until CI could reach it.</t>
  </si>
  <si>
    <t xml:space="preserve">None. But the failure mode is the dangerous kind for a security gate: a check that cries wolf on `OPENSEA_API_KEY=fake_key_value` teaches everyone to click past it, and the day it fires on a real 32-character key nobody looks. A gate with no precision has no authority.</t>
  </si>
  <si>
    <t xml:space="preserve">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</si>
  <si>
    <t xml:space="preserve">A CI step that had never executed. Same shape as BUG-019: the pipeline was written, not run.</t>
  </si>
  <si>
    <t xml:space="preserve">REQ-N-11</t>
  </si>
  <si>
    <t xml:space="preserve">.github/workflows/ci.yml:L61  ·  tools/secrets_check.py:L1</t>
  </si>
  <si>
    <t xml:space="preserve">https://github.com/spencerwon/navanax1/blob/tester/.github/workflows/ci.yml#L61 https://github.com/spencerwon/navanax1/blob/tester/tools/secrets_check.py#L1</t>
  </si>
  <si>
    <t xml:space="preserve">tests/selftest.py::test_secrets_gate_knows_what_a_key_looks_like</t>
  </si>
  <si>
    <t xml:space="preserve">GitHub Actions CI on PR #2 -- the step had never executed before; every earlier run died upstream of it</t>
  </si>
  <si>
    <t xml:space="preserve">2026-09-09T13:05:00-05:00</t>
  </si>
  <si>
    <t xml:space="preserve">2026-09-09T13:30:00-05:00</t>
  </si>
  <si>
    <t xml:space="preserve">BUG-20260909-034</t>
  </si>
  <si>
    <t xml:space="preserve">CI actions target Node 20, which GitHub removes from runners on 2026-09-23 -- two weeks out</t>
  </si>
  <si>
    <t xml:space="preserve">Pinned to the major versions that were current when the workflow was written; the runtime they depend on has a published end date.</t>
  </si>
  <si>
    <t xml:space="preserve">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</si>
  <si>
    <t xml:space="preserve">actions/checkout@v5 and actions/setup-python@v6, both Node 24. Dated in the workflow comment so the next person knows why.</t>
  </si>
  <si>
    <t xml:space="preserve">Nothing in the project tracks external end-of-life dates. The research agent's charter covers the OpenSea API contract; it should cover the CI runtime too.</t>
  </si>
  <si>
    <t xml:space="preserve">.github/workflows/ci.yml:L12</t>
  </si>
  <si>
    <t xml:space="preserve">https://github.com/spencerwon/navanax1/blob/tester/.github/workflows/ci.yml#L12</t>
  </si>
  <si>
    <t xml:space="preserve">CI itself -- the deprecation annotation disappears</t>
  </si>
  <si>
    <t xml:space="preserve">GitHub Actions deprecation warning on PR #2, and GitHub's Actions runners notice (Node20 removal date updated 2026-08-25 to 2026-09-23)</t>
  </si>
  <si>
    <t xml:space="preserve">BUG-20260909-035</t>
  </si>
  <si>
    <t xml:space="preserve">10:20:00</t>
  </si>
  <si>
    <t xml:space="preserve">First live run failed CERTIFICATE_VERIFY_FAILED seven times -- python.org macOS Python ships no root certificates, and the consumer blamed the stream</t>
  </si>
  <si>
    <t xml:space="preserve">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</si>
  <si>
    <t xml:space="preserve">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</si>
  <si>
    <t xml:space="preserve">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</si>
  <si>
    <t xml:space="preserve">The live smoke test ran under one Python; the operator's launcher ran under another. No test, and no launcher, checked that the interpreter it found could verify a certificate before pointing it at the internet.</t>
  </si>
  <si>
    <t xml:space="preserve">src/navanax/tls.py:L1  ·  src/navanax/stream.py:L755  ·  tools/preflight.py:L52</t>
  </si>
  <si>
    <t xml:space="preserve">https://github.com/spencerwon/navanax1/blob/tester/src/navanax/tls.py#L1 https://github.com/spencerwon/navanax1/blob/tester/src/navanax/stream.py#L755 https://github.com/spencerwon/navanax1/blob/tester/tools/preflight.py#L52</t>
  </si>
  <si>
    <t xml:space="preserve">tests/selftest.py::test_cert_failure_names_the_fix_once</t>
  </si>
  <si>
    <t xml:space="preserve">Spencer, first double-click of start.command</t>
  </si>
  <si>
    <t xml:space="preserve">2026-09-09T10:16:49-05:00</t>
  </si>
  <si>
    <t xml:space="preserve">2026-09-09T10:20:00-05:00</t>
  </si>
  <si>
    <t xml:space="preserve">#3</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</si>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</sst>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36" headerRowCount="1" totalsRowCount="0" totalsRowShown="0">
  <autoFilter ref="A1:AA36"/>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hyperlink" Target="https://github.com/spencerwon/navanax1/blob/tester/config/base.yaml" TargetMode="External"/><Relationship Id="rId58" Type="http://schemas.openxmlformats.org/officeDocument/2006/relationships/hyperlink" Target="https://github.com/spencerwon/navanax1/pull/1" TargetMode="External"/><Relationship Id="rId59" Type="http://schemas.openxmlformats.org/officeDocument/2006/relationships/hyperlink" Target="https://github.com/spencerwon/navanax1/blob/tester/src/navanax/governor.py" TargetMode="External"/><Relationship Id="rId60" Type="http://schemas.openxmlformats.org/officeDocument/2006/relationships/hyperlink" Target="https://github.com/spencerwon/navanax1/pull/1" TargetMode="External"/><Relationship Id="rId61" Type="http://schemas.openxmlformats.org/officeDocument/2006/relationships/hyperlink" Target="https://github.com/spencerwon/navanax1/blob/tester/src/navanax/opstore.py" TargetMode="External"/><Relationship Id="rId62" Type="http://schemas.openxmlformats.org/officeDocument/2006/relationships/hyperlink" Target="https://github.com/spencerwon/navanax1/pull/1" TargetMode="External"/><Relationship Id="rId63" Type="http://schemas.openxmlformats.org/officeDocument/2006/relationships/hyperlink" Target="https://github.com/spencerwon/navanax1/blob/tester/src/navanax/codec.py" TargetMode="External"/><Relationship Id="rId64" Type="http://schemas.openxmlformats.org/officeDocument/2006/relationships/hyperlink" Target="https://github.com/spencerwon/navanax1/pull/2" TargetMode="External"/><Relationship Id="rId65" Type="http://schemas.openxmlformats.org/officeDocument/2006/relationships/hyperlink" Target="https://github.com/spencerwon/navanax1/blob/tester/.github/workflows/ci.yml" TargetMode="External"/><Relationship Id="rId66" Type="http://schemas.openxmlformats.org/officeDocument/2006/relationships/hyperlink" Target="https://github.com/spencerwon/navanax1/pull/2" TargetMode="External"/><Relationship Id="rId67" Type="http://schemas.openxmlformats.org/officeDocument/2006/relationships/hyperlink" Target="https://github.com/spencerwon/navanax1/blob/tester/.github/workflows/ci.yml" TargetMode="External"/><Relationship Id="rId68" Type="http://schemas.openxmlformats.org/officeDocument/2006/relationships/hyperlink" Target="https://github.com/spencerwon/navanax1/pull/2" TargetMode="External"/><Relationship Id="rId69" Type="http://schemas.openxmlformats.org/officeDocument/2006/relationships/hyperlink" Target="https://github.com/spencerwon/navanax1/blob/tester/src/navanax/tls.py" TargetMode="External"/><Relationship Id="rId70" Type="http://schemas.openxmlformats.org/officeDocument/2006/relationships/hyperlink" Target="https://github.com/spencerwon/navanax1/pull/3" TargetMode="External"/><Relationship Id="rId7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5" t="s">
        <v>37</v>
      </c>
      <c r="L13" s="3" t="s">
        <v>195</v>
      </c>
      <c r="M13" s="3" t="s">
        <v>196</v>
      </c>
      <c r="N13" s="3" t="s">
        <v>197</v>
      </c>
      <c r="O13" s="3" t="s">
        <v>198</v>
      </c>
      <c r="P13" s="3" t="s">
        <v>199</v>
      </c>
      <c r="Q13" s="6" t="s">
        <v>81</v>
      </c>
      <c r="R13" s="3" t="s">
        <v>44</v>
      </c>
      <c r="S13" s="6" t="s">
        <v>200</v>
      </c>
      <c r="T13" s="7" t="s">
        <v>201</v>
      </c>
      <c r="U13" s="6" t="s">
        <v>202</v>
      </c>
      <c r="V13" s="3" t="s">
        <v>203</v>
      </c>
      <c r="W13" s="3" t="s">
        <v>121</v>
      </c>
      <c r="X13" s="3"/>
      <c r="Y13" s="3" t="s">
        <v>122</v>
      </c>
      <c r="Z13" s="3" t="s">
        <v>204</v>
      </c>
      <c r="AA13" s="7" t="s">
        <v>53</v>
      </c>
    </row>
    <row r="14" customFormat="false" ht="120" hidden="false" customHeight="true" outlineLevel="0" collapsed="false">
      <c r="A14" s="2" t="s">
        <v>205</v>
      </c>
      <c r="B14" s="3" t="s">
        <v>28</v>
      </c>
      <c r="C14" s="3" t="s">
        <v>111</v>
      </c>
      <c r="D14" s="4" t="s">
        <v>30</v>
      </c>
      <c r="E14" s="3" t="s">
        <v>31</v>
      </c>
      <c r="F14" s="3" t="s">
        <v>32</v>
      </c>
      <c r="G14" s="3" t="s">
        <v>94</v>
      </c>
      <c r="H14" s="3" t="s">
        <v>95</v>
      </c>
      <c r="I14" s="3" t="s">
        <v>59</v>
      </c>
      <c r="J14" s="3" t="s">
        <v>60</v>
      </c>
      <c r="K14" s="5" t="s">
        <v>37</v>
      </c>
      <c r="L14" s="3" t="s">
        <v>206</v>
      </c>
      <c r="M14" s="3" t="s">
        <v>207</v>
      </c>
      <c r="N14" s="3" t="s">
        <v>208</v>
      </c>
      <c r="O14" s="3" t="s">
        <v>209</v>
      </c>
      <c r="P14" s="3" t="s">
        <v>210</v>
      </c>
      <c r="Q14" s="6" t="s">
        <v>211</v>
      </c>
      <c r="R14" s="3" t="s">
        <v>44</v>
      </c>
      <c r="S14" s="6" t="s">
        <v>212</v>
      </c>
      <c r="T14" s="7" t="s">
        <v>213</v>
      </c>
      <c r="U14" s="6" t="s">
        <v>214</v>
      </c>
      <c r="V14" s="3" t="s">
        <v>215</v>
      </c>
      <c r="W14" s="3" t="s">
        <v>121</v>
      </c>
      <c r="X14" s="3"/>
      <c r="Y14" s="3" t="s">
        <v>122</v>
      </c>
      <c r="Z14" s="3" t="s">
        <v>204</v>
      </c>
      <c r="AA14" s="7" t="s">
        <v>53</v>
      </c>
    </row>
    <row r="15" customFormat="false" ht="120" hidden="false" customHeight="true" outlineLevel="0" collapsed="false">
      <c r="A15" s="2" t="s">
        <v>216</v>
      </c>
      <c r="B15" s="3" t="s">
        <v>28</v>
      </c>
      <c r="C15" s="3" t="s">
        <v>111</v>
      </c>
      <c r="D15" s="4" t="s">
        <v>30</v>
      </c>
      <c r="E15" s="3" t="s">
        <v>31</v>
      </c>
      <c r="F15" s="3" t="s">
        <v>32</v>
      </c>
      <c r="G15" s="3" t="s">
        <v>94</v>
      </c>
      <c r="H15" s="3" t="s">
        <v>95</v>
      </c>
      <c r="I15" s="3" t="s">
        <v>35</v>
      </c>
      <c r="J15" s="3" t="s">
        <v>36</v>
      </c>
      <c r="K15" s="5" t="s">
        <v>37</v>
      </c>
      <c r="L15" s="3" t="s">
        <v>217</v>
      </c>
      <c r="M15" s="3" t="s">
        <v>218</v>
      </c>
      <c r="N15" s="3" t="s">
        <v>219</v>
      </c>
      <c r="O15" s="3" t="s">
        <v>220</v>
      </c>
      <c r="P15" s="3" t="s">
        <v>221</v>
      </c>
      <c r="Q15" s="6" t="s">
        <v>81</v>
      </c>
      <c r="R15" s="3" t="s">
        <v>44</v>
      </c>
      <c r="S15" s="6" t="s">
        <v>222</v>
      </c>
      <c r="T15" s="7" t="s">
        <v>223</v>
      </c>
      <c r="U15" s="6" t="s">
        <v>224</v>
      </c>
      <c r="V15" s="3" t="s">
        <v>225</v>
      </c>
      <c r="W15" s="3" t="s">
        <v>121</v>
      </c>
      <c r="X15" s="3"/>
      <c r="Y15" s="3" t="s">
        <v>122</v>
      </c>
      <c r="Z15" s="3" t="s">
        <v>226</v>
      </c>
      <c r="AA15" s="7" t="s">
        <v>53</v>
      </c>
    </row>
    <row r="16" customFormat="false" ht="120" hidden="false" customHeight="true" outlineLevel="0" collapsed="false">
      <c r="A16" s="2" t="s">
        <v>227</v>
      </c>
      <c r="B16" s="3" t="s">
        <v>28</v>
      </c>
      <c r="C16" s="3" t="s">
        <v>111</v>
      </c>
      <c r="D16" s="8" t="s">
        <v>56</v>
      </c>
      <c r="E16" s="3" t="s">
        <v>57</v>
      </c>
      <c r="F16" s="3" t="s">
        <v>58</v>
      </c>
      <c r="G16" s="3" t="s">
        <v>228</v>
      </c>
      <c r="H16" s="3" t="s">
        <v>229</v>
      </c>
      <c r="I16" s="3" t="s">
        <v>35</v>
      </c>
      <c r="J16" s="3" t="s">
        <v>36</v>
      </c>
      <c r="K16" s="5" t="s">
        <v>37</v>
      </c>
      <c r="L16" s="3" t="s">
        <v>230</v>
      </c>
      <c r="M16" s="3" t="s">
        <v>231</v>
      </c>
      <c r="N16" s="3" t="s">
        <v>232</v>
      </c>
      <c r="O16" s="3" t="s">
        <v>233</v>
      </c>
      <c r="P16" s="3" t="s">
        <v>234</v>
      </c>
      <c r="Q16" s="6" t="s">
        <v>235</v>
      </c>
      <c r="R16" s="3" t="s">
        <v>44</v>
      </c>
      <c r="S16" s="6" t="s">
        <v>236</v>
      </c>
      <c r="T16" s="7" t="s">
        <v>237</v>
      </c>
      <c r="U16" s="6" t="s">
        <v>238</v>
      </c>
      <c r="V16" s="3" t="s">
        <v>225</v>
      </c>
      <c r="W16" s="3" t="s">
        <v>121</v>
      </c>
      <c r="X16" s="3"/>
      <c r="Y16" s="3" t="s">
        <v>122</v>
      </c>
      <c r="Z16" s="3" t="s">
        <v>226</v>
      </c>
      <c r="AA16" s="7" t="s">
        <v>53</v>
      </c>
    </row>
    <row r="17" customFormat="false" ht="120" hidden="false" customHeight="true" outlineLevel="0" collapsed="false">
      <c r="A17" s="2" t="s">
        <v>239</v>
      </c>
      <c r="B17" s="3" t="s">
        <v>28</v>
      </c>
      <c r="C17" s="3" t="s">
        <v>111</v>
      </c>
      <c r="D17" s="8" t="s">
        <v>56</v>
      </c>
      <c r="E17" s="3" t="s">
        <v>57</v>
      </c>
      <c r="F17" s="3" t="s">
        <v>58</v>
      </c>
      <c r="G17" s="3" t="s">
        <v>240</v>
      </c>
      <c r="H17" s="3" t="s">
        <v>93</v>
      </c>
      <c r="I17" s="3" t="s">
        <v>193</v>
      </c>
      <c r="J17" s="3" t="s">
        <v>194</v>
      </c>
      <c r="K17" s="5" t="s">
        <v>37</v>
      </c>
      <c r="L17" s="3" t="s">
        <v>241</v>
      </c>
      <c r="M17" s="3" t="s">
        <v>242</v>
      </c>
      <c r="N17" s="3" t="s">
        <v>243</v>
      </c>
      <c r="O17" s="3" t="s">
        <v>244</v>
      </c>
      <c r="P17" s="3" t="s">
        <v>245</v>
      </c>
      <c r="Q17" s="6" t="s">
        <v>81</v>
      </c>
      <c r="R17" s="3" t="s">
        <v>44</v>
      </c>
      <c r="S17" s="6" t="s">
        <v>246</v>
      </c>
      <c r="T17" s="7" t="s">
        <v>247</v>
      </c>
      <c r="U17" s="6" t="s">
        <v>248</v>
      </c>
      <c r="V17" s="3" t="s">
        <v>225</v>
      </c>
      <c r="W17" s="3" t="s">
        <v>121</v>
      </c>
      <c r="X17" s="3"/>
      <c r="Y17" s="3" t="s">
        <v>122</v>
      </c>
      <c r="Z17" s="3" t="s">
        <v>204</v>
      </c>
      <c r="AA17" s="7" t="s">
        <v>53</v>
      </c>
    </row>
    <row r="18" customFormat="false" ht="120" hidden="false" customHeight="true" outlineLevel="0" collapsed="false">
      <c r="A18" s="2" t="s">
        <v>249</v>
      </c>
      <c r="B18" s="3" t="s">
        <v>28</v>
      </c>
      <c r="C18" s="3" t="s">
        <v>111</v>
      </c>
      <c r="D18" s="4" t="s">
        <v>30</v>
      </c>
      <c r="E18" s="3" t="s">
        <v>31</v>
      </c>
      <c r="F18" s="3" t="s">
        <v>32</v>
      </c>
      <c r="G18" s="3" t="s">
        <v>94</v>
      </c>
      <c r="H18" s="3" t="s">
        <v>95</v>
      </c>
      <c r="I18" s="3" t="s">
        <v>250</v>
      </c>
      <c r="J18" s="3" t="s">
        <v>251</v>
      </c>
      <c r="K18" s="5" t="s">
        <v>37</v>
      </c>
      <c r="L18" s="3" t="s">
        <v>252</v>
      </c>
      <c r="M18" s="3" t="s">
        <v>253</v>
      </c>
      <c r="N18" s="3" t="s">
        <v>254</v>
      </c>
      <c r="O18" s="3" t="s">
        <v>255</v>
      </c>
      <c r="P18" s="3" t="s">
        <v>256</v>
      </c>
      <c r="Q18" s="6" t="s">
        <v>257</v>
      </c>
      <c r="R18" s="3" t="s">
        <v>44</v>
      </c>
      <c r="S18" s="6" t="s">
        <v>258</v>
      </c>
      <c r="T18" s="7" t="s">
        <v>259</v>
      </c>
      <c r="U18" s="6" t="s">
        <v>260</v>
      </c>
      <c r="V18" s="3" t="s">
        <v>261</v>
      </c>
      <c r="W18" s="3" t="s">
        <v>121</v>
      </c>
      <c r="X18" s="3"/>
      <c r="Y18" s="3" t="s">
        <v>122</v>
      </c>
      <c r="Z18" s="3" t="s">
        <v>204</v>
      </c>
      <c r="AA18" s="7" t="s">
        <v>53</v>
      </c>
    </row>
    <row r="19" customFormat="false" ht="120" hidden="false" customHeight="true" outlineLevel="0" collapsed="false">
      <c r="A19" s="2" t="s">
        <v>262</v>
      </c>
      <c r="B19" s="3" t="s">
        <v>28</v>
      </c>
      <c r="C19" s="3" t="s">
        <v>111</v>
      </c>
      <c r="D19" s="10" t="s">
        <v>136</v>
      </c>
      <c r="E19" s="3" t="s">
        <v>137</v>
      </c>
      <c r="F19" s="3" t="s">
        <v>138</v>
      </c>
      <c r="G19" s="3" t="s">
        <v>228</v>
      </c>
      <c r="H19" s="3" t="s">
        <v>229</v>
      </c>
      <c r="I19" s="3" t="s">
        <v>263</v>
      </c>
      <c r="J19" s="3" t="s">
        <v>264</v>
      </c>
      <c r="K19" s="5" t="s">
        <v>37</v>
      </c>
      <c r="L19" s="3" t="s">
        <v>265</v>
      </c>
      <c r="M19" s="3" t="s">
        <v>266</v>
      </c>
      <c r="N19" s="3" t="s">
        <v>267</v>
      </c>
      <c r="O19" s="3" t="s">
        <v>268</v>
      </c>
      <c r="P19" s="3" t="s">
        <v>269</v>
      </c>
      <c r="Q19" s="6" t="s">
        <v>154</v>
      </c>
      <c r="R19" s="3" t="s">
        <v>44</v>
      </c>
      <c r="S19" s="6" t="s">
        <v>270</v>
      </c>
      <c r="T19" s="7" t="s">
        <v>271</v>
      </c>
      <c r="U19" s="6" t="s">
        <v>272</v>
      </c>
      <c r="V19" s="3" t="s">
        <v>225</v>
      </c>
      <c r="W19" s="3" t="s">
        <v>121</v>
      </c>
      <c r="X19" s="3"/>
      <c r="Y19" s="3" t="s">
        <v>122</v>
      </c>
      <c r="Z19" s="3" t="s">
        <v>204</v>
      </c>
      <c r="AA19" s="7" t="s">
        <v>53</v>
      </c>
    </row>
    <row r="20" customFormat="false" ht="120" hidden="false" customHeight="true" outlineLevel="0" collapsed="false">
      <c r="A20" s="2" t="s">
        <v>273</v>
      </c>
      <c r="B20" s="3" t="s">
        <v>28</v>
      </c>
      <c r="C20" s="3" t="s">
        <v>274</v>
      </c>
      <c r="D20" s="8" t="s">
        <v>56</v>
      </c>
      <c r="E20" s="3" t="s">
        <v>57</v>
      </c>
      <c r="F20" s="3" t="s">
        <v>58</v>
      </c>
      <c r="G20" s="3" t="s">
        <v>33</v>
      </c>
      <c r="H20" s="3" t="s">
        <v>34</v>
      </c>
      <c r="I20" s="3" t="s">
        <v>263</v>
      </c>
      <c r="J20" s="3" t="s">
        <v>264</v>
      </c>
      <c r="K20" s="5" t="s">
        <v>37</v>
      </c>
      <c r="L20" s="3" t="s">
        <v>275</v>
      </c>
      <c r="M20" s="3" t="s">
        <v>276</v>
      </c>
      <c r="N20" s="3" t="s">
        <v>277</v>
      </c>
      <c r="O20" s="3" t="s">
        <v>278</v>
      </c>
      <c r="P20" s="3" t="s">
        <v>279</v>
      </c>
      <c r="Q20" s="6" t="s">
        <v>101</v>
      </c>
      <c r="R20" s="3" t="s">
        <v>44</v>
      </c>
      <c r="S20" s="6" t="s">
        <v>280</v>
      </c>
      <c r="T20" s="7" t="s">
        <v>281</v>
      </c>
      <c r="U20" s="6" t="s">
        <v>282</v>
      </c>
      <c r="V20" s="3" t="s">
        <v>283</v>
      </c>
      <c r="W20" s="3" t="s">
        <v>121</v>
      </c>
      <c r="X20" s="3" t="s">
        <v>107</v>
      </c>
      <c r="Y20" s="3" t="s">
        <v>284</v>
      </c>
      <c r="Z20" s="3" t="s">
        <v>285</v>
      </c>
      <c r="AA20" s="7" t="s">
        <v>53</v>
      </c>
    </row>
    <row r="21" customFormat="false" ht="120" hidden="false" customHeight="true" outlineLevel="0" collapsed="false">
      <c r="A21" s="2" t="s">
        <v>286</v>
      </c>
      <c r="B21" s="3" t="s">
        <v>28</v>
      </c>
      <c r="C21" s="3" t="s">
        <v>287</v>
      </c>
      <c r="D21" s="4" t="s">
        <v>30</v>
      </c>
      <c r="E21" s="3" t="s">
        <v>31</v>
      </c>
      <c r="F21" s="3" t="s">
        <v>32</v>
      </c>
      <c r="G21" s="3" t="s">
        <v>33</v>
      </c>
      <c r="H21" s="3" t="s">
        <v>34</v>
      </c>
      <c r="I21" s="3" t="s">
        <v>59</v>
      </c>
      <c r="J21" s="3" t="s">
        <v>60</v>
      </c>
      <c r="K21" s="5" t="s">
        <v>37</v>
      </c>
      <c r="L21" s="3" t="s">
        <v>288</v>
      </c>
      <c r="M21" s="3" t="s">
        <v>289</v>
      </c>
      <c r="N21" s="3" t="s">
        <v>290</v>
      </c>
      <c r="O21" s="3" t="s">
        <v>291</v>
      </c>
      <c r="P21" s="3" t="s">
        <v>292</v>
      </c>
      <c r="Q21" s="6" t="s">
        <v>144</v>
      </c>
      <c r="R21" s="3" t="s">
        <v>44</v>
      </c>
      <c r="S21" s="6" t="s">
        <v>293</v>
      </c>
      <c r="T21" s="7" t="s">
        <v>294</v>
      </c>
      <c r="U21" s="6" t="s">
        <v>295</v>
      </c>
      <c r="V21" s="3" t="s">
        <v>283</v>
      </c>
      <c r="W21" s="3" t="s">
        <v>121</v>
      </c>
      <c r="X21" s="3" t="s">
        <v>123</v>
      </c>
      <c r="Y21" s="3" t="s">
        <v>296</v>
      </c>
      <c r="Z21" s="3" t="s">
        <v>297</v>
      </c>
      <c r="AA21" s="7" t="s">
        <v>53</v>
      </c>
    </row>
    <row r="22" customFormat="false" ht="120" hidden="false" customHeight="true" outlineLevel="0" collapsed="false">
      <c r="A22" s="2" t="s">
        <v>298</v>
      </c>
      <c r="B22" s="3" t="s">
        <v>28</v>
      </c>
      <c r="C22" s="3" t="s">
        <v>287</v>
      </c>
      <c r="D22" s="4" t="s">
        <v>30</v>
      </c>
      <c r="E22" s="3" t="s">
        <v>31</v>
      </c>
      <c r="F22" s="3" t="s">
        <v>32</v>
      </c>
      <c r="G22" s="3" t="s">
        <v>33</v>
      </c>
      <c r="H22" s="3" t="s">
        <v>34</v>
      </c>
      <c r="I22" s="3" t="s">
        <v>59</v>
      </c>
      <c r="J22" s="3" t="s">
        <v>60</v>
      </c>
      <c r="K22" s="5" t="s">
        <v>37</v>
      </c>
      <c r="L22" s="3" t="s">
        <v>299</v>
      </c>
      <c r="M22" s="3" t="s">
        <v>300</v>
      </c>
      <c r="N22" s="3" t="s">
        <v>301</v>
      </c>
      <c r="O22" s="3" t="s">
        <v>302</v>
      </c>
      <c r="P22" s="3" t="s">
        <v>303</v>
      </c>
      <c r="Q22" s="6" t="s">
        <v>144</v>
      </c>
      <c r="R22" s="3" t="s">
        <v>44</v>
      </c>
      <c r="S22" s="6" t="s">
        <v>304</v>
      </c>
      <c r="T22" s="7" t="s">
        <v>305</v>
      </c>
      <c r="U22" s="6" t="s">
        <v>306</v>
      </c>
      <c r="V22" s="3" t="s">
        <v>283</v>
      </c>
      <c r="W22" s="3" t="s">
        <v>121</v>
      </c>
      <c r="X22" s="3" t="s">
        <v>123</v>
      </c>
      <c r="Y22" s="3" t="s">
        <v>296</v>
      </c>
      <c r="Z22" s="3" t="s">
        <v>297</v>
      </c>
      <c r="AA22" s="7" t="s">
        <v>53</v>
      </c>
    </row>
    <row r="23" customFormat="false" ht="120" hidden="false" customHeight="true" outlineLevel="0" collapsed="false">
      <c r="A23" s="2" t="s">
        <v>307</v>
      </c>
      <c r="B23" s="3" t="s">
        <v>28</v>
      </c>
      <c r="C23" s="3" t="s">
        <v>287</v>
      </c>
      <c r="D23" s="4" t="s">
        <v>30</v>
      </c>
      <c r="E23" s="3" t="s">
        <v>31</v>
      </c>
      <c r="F23" s="3" t="s">
        <v>32</v>
      </c>
      <c r="G23" s="3" t="s">
        <v>33</v>
      </c>
      <c r="H23" s="3" t="s">
        <v>34</v>
      </c>
      <c r="I23" s="3" t="s">
        <v>59</v>
      </c>
      <c r="J23" s="3" t="s">
        <v>60</v>
      </c>
      <c r="K23" s="5" t="s">
        <v>37</v>
      </c>
      <c r="L23" s="3" t="s">
        <v>308</v>
      </c>
      <c r="M23" s="3" t="s">
        <v>309</v>
      </c>
      <c r="N23" s="3" t="s">
        <v>310</v>
      </c>
      <c r="O23" s="3" t="s">
        <v>311</v>
      </c>
      <c r="P23" s="3" t="s">
        <v>312</v>
      </c>
      <c r="Q23" s="6" t="s">
        <v>144</v>
      </c>
      <c r="R23" s="3" t="s">
        <v>44</v>
      </c>
      <c r="S23" s="6" t="s">
        <v>313</v>
      </c>
      <c r="T23" s="7" t="s">
        <v>314</v>
      </c>
      <c r="U23" s="6" t="s">
        <v>315</v>
      </c>
      <c r="V23" s="3" t="s">
        <v>316</v>
      </c>
      <c r="W23" s="3" t="s">
        <v>121</v>
      </c>
      <c r="X23" s="3" t="s">
        <v>134</v>
      </c>
      <c r="Y23" s="3" t="s">
        <v>296</v>
      </c>
      <c r="Z23" s="3" t="s">
        <v>297</v>
      </c>
      <c r="AA23" s="7" t="s">
        <v>53</v>
      </c>
    </row>
    <row r="24" customFormat="false" ht="120" hidden="false" customHeight="true" outlineLevel="0" collapsed="false">
      <c r="A24" s="2" t="s">
        <v>317</v>
      </c>
      <c r="B24" s="3" t="s">
        <v>28</v>
      </c>
      <c r="C24" s="3" t="s">
        <v>318</v>
      </c>
      <c r="D24" s="4" t="s">
        <v>30</v>
      </c>
      <c r="E24" s="3" t="s">
        <v>31</v>
      </c>
      <c r="F24" s="3" t="s">
        <v>32</v>
      </c>
      <c r="G24" s="3" t="s">
        <v>33</v>
      </c>
      <c r="H24" s="3" t="s">
        <v>34</v>
      </c>
      <c r="I24" s="3" t="s">
        <v>59</v>
      </c>
      <c r="J24" s="3" t="s">
        <v>60</v>
      </c>
      <c r="K24" s="5" t="s">
        <v>37</v>
      </c>
      <c r="L24" s="3" t="s">
        <v>319</v>
      </c>
      <c r="M24" s="3" t="s">
        <v>320</v>
      </c>
      <c r="N24" s="3" t="s">
        <v>321</v>
      </c>
      <c r="O24" s="3" t="s">
        <v>322</v>
      </c>
      <c r="P24" s="3" t="s">
        <v>323</v>
      </c>
      <c r="Q24" s="6" t="s">
        <v>154</v>
      </c>
      <c r="R24" s="3" t="s">
        <v>44</v>
      </c>
      <c r="S24" s="6" t="s">
        <v>324</v>
      </c>
      <c r="T24" s="7" t="s">
        <v>325</v>
      </c>
      <c r="U24" s="6" t="s">
        <v>326</v>
      </c>
      <c r="V24" s="3" t="s">
        <v>327</v>
      </c>
      <c r="W24" s="3" t="s">
        <v>328</v>
      </c>
      <c r="X24" s="3" t="s">
        <v>297</v>
      </c>
      <c r="Y24" s="3" t="s">
        <v>329</v>
      </c>
      <c r="Z24" s="3" t="s">
        <v>330</v>
      </c>
      <c r="AA24" s="7" t="s">
        <v>53</v>
      </c>
    </row>
    <row r="25" customFormat="false" ht="120" hidden="false" customHeight="true" outlineLevel="0" collapsed="false">
      <c r="A25" s="2" t="s">
        <v>331</v>
      </c>
      <c r="B25" s="3" t="s">
        <v>28</v>
      </c>
      <c r="C25" s="3" t="s">
        <v>287</v>
      </c>
      <c r="D25" s="4" t="s">
        <v>30</v>
      </c>
      <c r="E25" s="3" t="s">
        <v>31</v>
      </c>
      <c r="F25" s="3" t="s">
        <v>32</v>
      </c>
      <c r="G25" s="3" t="s">
        <v>33</v>
      </c>
      <c r="H25" s="3" t="s">
        <v>34</v>
      </c>
      <c r="I25" s="3" t="s">
        <v>59</v>
      </c>
      <c r="J25" s="3" t="s">
        <v>60</v>
      </c>
      <c r="K25" s="5" t="s">
        <v>37</v>
      </c>
      <c r="L25" s="3" t="s">
        <v>332</v>
      </c>
      <c r="M25" s="3" t="s">
        <v>333</v>
      </c>
      <c r="N25" s="3" t="s">
        <v>334</v>
      </c>
      <c r="O25" s="3" t="s">
        <v>335</v>
      </c>
      <c r="P25" s="3" t="s">
        <v>336</v>
      </c>
      <c r="Q25" s="6" t="s">
        <v>130</v>
      </c>
      <c r="R25" s="3" t="s">
        <v>44</v>
      </c>
      <c r="S25" s="6" t="s">
        <v>337</v>
      </c>
      <c r="T25" s="7" t="s">
        <v>338</v>
      </c>
      <c r="U25" s="6" t="s">
        <v>176</v>
      </c>
      <c r="V25" s="3" t="s">
        <v>283</v>
      </c>
      <c r="W25" s="3" t="s">
        <v>121</v>
      </c>
      <c r="X25" s="3" t="s">
        <v>123</v>
      </c>
      <c r="Y25" s="3" t="s">
        <v>296</v>
      </c>
      <c r="Z25" s="3" t="s">
        <v>297</v>
      </c>
      <c r="AA25" s="7" t="s">
        <v>53</v>
      </c>
    </row>
    <row r="26" customFormat="false" ht="120" hidden="false" customHeight="true" outlineLevel="0" collapsed="false">
      <c r="A26" s="2" t="s">
        <v>339</v>
      </c>
      <c r="B26" s="3" t="s">
        <v>28</v>
      </c>
      <c r="C26" s="3" t="s">
        <v>287</v>
      </c>
      <c r="D26" s="10" t="s">
        <v>136</v>
      </c>
      <c r="E26" s="3" t="s">
        <v>137</v>
      </c>
      <c r="F26" s="3" t="s">
        <v>138</v>
      </c>
      <c r="G26" s="3" t="s">
        <v>94</v>
      </c>
      <c r="H26" s="3" t="s">
        <v>95</v>
      </c>
      <c r="I26" s="3" t="s">
        <v>59</v>
      </c>
      <c r="J26" s="3" t="s">
        <v>60</v>
      </c>
      <c r="K26" s="5" t="s">
        <v>37</v>
      </c>
      <c r="L26" s="3" t="s">
        <v>340</v>
      </c>
      <c r="M26" s="3" t="s">
        <v>341</v>
      </c>
      <c r="N26" s="3" t="s">
        <v>342</v>
      </c>
      <c r="O26" s="3" t="s">
        <v>343</v>
      </c>
      <c r="P26" s="3" t="s">
        <v>344</v>
      </c>
      <c r="Q26" s="6" t="s">
        <v>154</v>
      </c>
      <c r="R26" s="3" t="s">
        <v>44</v>
      </c>
      <c r="S26" s="6" t="s">
        <v>345</v>
      </c>
      <c r="T26" s="7" t="s">
        <v>346</v>
      </c>
      <c r="U26" s="6" t="s">
        <v>347</v>
      </c>
      <c r="V26" s="3" t="s">
        <v>283</v>
      </c>
      <c r="W26" s="3" t="s">
        <v>121</v>
      </c>
      <c r="X26" s="3" t="s">
        <v>123</v>
      </c>
      <c r="Y26" s="3" t="s">
        <v>296</v>
      </c>
      <c r="Z26" s="3" t="s">
        <v>297</v>
      </c>
      <c r="AA26" s="7" t="s">
        <v>53</v>
      </c>
    </row>
    <row r="27" customFormat="false" ht="120" hidden="false" customHeight="true" outlineLevel="0" collapsed="false">
      <c r="A27" s="2" t="s">
        <v>348</v>
      </c>
      <c r="B27" s="3" t="s">
        <v>28</v>
      </c>
      <c r="C27" s="3" t="s">
        <v>287</v>
      </c>
      <c r="D27" s="8" t="s">
        <v>56</v>
      </c>
      <c r="E27" s="3" t="s">
        <v>57</v>
      </c>
      <c r="F27" s="3" t="s">
        <v>58</v>
      </c>
      <c r="G27" s="3" t="s">
        <v>94</v>
      </c>
      <c r="H27" s="3" t="s">
        <v>95</v>
      </c>
      <c r="I27" s="3" t="s">
        <v>59</v>
      </c>
      <c r="J27" s="3" t="s">
        <v>60</v>
      </c>
      <c r="K27" s="5" t="s">
        <v>37</v>
      </c>
      <c r="L27" s="3" t="s">
        <v>349</v>
      </c>
      <c r="M27" s="3" t="s">
        <v>350</v>
      </c>
      <c r="N27" s="3" t="s">
        <v>351</v>
      </c>
      <c r="O27" s="3" t="s">
        <v>352</v>
      </c>
      <c r="P27" s="3" t="s">
        <v>353</v>
      </c>
      <c r="Q27" s="6" t="s">
        <v>43</v>
      </c>
      <c r="R27" s="3" t="s">
        <v>44</v>
      </c>
      <c r="S27" s="6" t="s">
        <v>354</v>
      </c>
      <c r="T27" s="7" t="s">
        <v>355</v>
      </c>
      <c r="U27" s="6" t="s">
        <v>356</v>
      </c>
      <c r="V27" s="3" t="s">
        <v>283</v>
      </c>
      <c r="W27" s="3" t="s">
        <v>121</v>
      </c>
      <c r="X27" s="3" t="s">
        <v>134</v>
      </c>
      <c r="Y27" s="3" t="s">
        <v>296</v>
      </c>
      <c r="Z27" s="3" t="s">
        <v>297</v>
      </c>
      <c r="AA27" s="7" t="s">
        <v>53</v>
      </c>
    </row>
    <row r="28" customFormat="false" ht="120" hidden="false" customHeight="true" outlineLevel="0" collapsed="false">
      <c r="A28" s="2" t="s">
        <v>357</v>
      </c>
      <c r="B28" s="3" t="s">
        <v>28</v>
      </c>
      <c r="C28" s="3" t="s">
        <v>318</v>
      </c>
      <c r="D28" s="10" t="s">
        <v>136</v>
      </c>
      <c r="E28" s="3" t="s">
        <v>137</v>
      </c>
      <c r="F28" s="3" t="s">
        <v>138</v>
      </c>
      <c r="G28" s="3" t="s">
        <v>94</v>
      </c>
      <c r="H28" s="3" t="s">
        <v>95</v>
      </c>
      <c r="I28" s="3" t="s">
        <v>263</v>
      </c>
      <c r="J28" s="3" t="s">
        <v>264</v>
      </c>
      <c r="K28" s="5" t="s">
        <v>37</v>
      </c>
      <c r="L28" s="3" t="s">
        <v>358</v>
      </c>
      <c r="M28" s="3" t="s">
        <v>359</v>
      </c>
      <c r="N28" s="3" t="s">
        <v>360</v>
      </c>
      <c r="O28" s="3" t="s">
        <v>361</v>
      </c>
      <c r="P28" s="3" t="s">
        <v>362</v>
      </c>
      <c r="Q28" s="6" t="s">
        <v>154</v>
      </c>
      <c r="R28" s="3" t="s">
        <v>44</v>
      </c>
      <c r="S28" s="6" t="s">
        <v>363</v>
      </c>
      <c r="T28" s="7" t="s">
        <v>364</v>
      </c>
      <c r="U28" s="6" t="s">
        <v>365</v>
      </c>
      <c r="V28" s="3" t="s">
        <v>366</v>
      </c>
      <c r="W28" s="3" t="s">
        <v>328</v>
      </c>
      <c r="X28" s="3" t="s">
        <v>297</v>
      </c>
      <c r="Y28" s="3" t="s">
        <v>329</v>
      </c>
      <c r="Z28" s="3" t="s">
        <v>330</v>
      </c>
      <c r="AA28" s="7" t="s">
        <v>53</v>
      </c>
    </row>
    <row r="29" customFormat="false" ht="120" hidden="false" customHeight="true" outlineLevel="0" collapsed="false">
      <c r="A29" s="2" t="s">
        <v>367</v>
      </c>
      <c r="B29" s="3" t="s">
        <v>28</v>
      </c>
      <c r="C29" s="3" t="s">
        <v>368</v>
      </c>
      <c r="D29" s="4" t="s">
        <v>30</v>
      </c>
      <c r="E29" s="3" t="s">
        <v>31</v>
      </c>
      <c r="F29" s="3" t="s">
        <v>32</v>
      </c>
      <c r="G29" s="3" t="s">
        <v>94</v>
      </c>
      <c r="H29" s="3" t="s">
        <v>95</v>
      </c>
      <c r="I29" s="3" t="s">
        <v>35</v>
      </c>
      <c r="J29" s="3" t="s">
        <v>36</v>
      </c>
      <c r="K29" s="5" t="s">
        <v>37</v>
      </c>
      <c r="L29" s="3" t="s">
        <v>369</v>
      </c>
      <c r="M29" s="3" t="s">
        <v>370</v>
      </c>
      <c r="N29" s="3" t="s">
        <v>371</v>
      </c>
      <c r="O29" s="3" t="s">
        <v>372</v>
      </c>
      <c r="P29" s="3" t="s">
        <v>373</v>
      </c>
      <c r="Q29" s="6" t="s">
        <v>81</v>
      </c>
      <c r="R29" s="3" t="s">
        <v>374</v>
      </c>
      <c r="S29" s="6" t="s">
        <v>375</v>
      </c>
      <c r="T29" s="7" t="s">
        <v>376</v>
      </c>
      <c r="U29" s="6" t="s">
        <v>224</v>
      </c>
      <c r="V29" s="3" t="s">
        <v>377</v>
      </c>
      <c r="W29" s="3" t="s">
        <v>378</v>
      </c>
      <c r="X29" s="3" t="s">
        <v>86</v>
      </c>
      <c r="Y29" s="3" t="s">
        <v>379</v>
      </c>
      <c r="Z29" s="3" t="s">
        <v>380</v>
      </c>
      <c r="AA29" s="7" t="s">
        <v>53</v>
      </c>
    </row>
    <row r="30" customFormat="false" ht="120" hidden="false" customHeight="true" outlineLevel="0" collapsed="false">
      <c r="A30" s="2" t="s">
        <v>381</v>
      </c>
      <c r="B30" s="3" t="s">
        <v>28</v>
      </c>
      <c r="C30" s="3" t="s">
        <v>382</v>
      </c>
      <c r="D30" s="10" t="s">
        <v>136</v>
      </c>
      <c r="E30" s="3" t="s">
        <v>137</v>
      </c>
      <c r="F30" s="3" t="s">
        <v>138</v>
      </c>
      <c r="G30" s="3" t="s">
        <v>33</v>
      </c>
      <c r="H30" s="3" t="s">
        <v>34</v>
      </c>
      <c r="I30" s="3" t="s">
        <v>193</v>
      </c>
      <c r="J30" s="3" t="s">
        <v>194</v>
      </c>
      <c r="K30" s="5" t="s">
        <v>37</v>
      </c>
      <c r="L30" s="3" t="s">
        <v>383</v>
      </c>
      <c r="M30" s="3" t="s">
        <v>384</v>
      </c>
      <c r="N30" s="3" t="s">
        <v>385</v>
      </c>
      <c r="O30" s="3" t="s">
        <v>386</v>
      </c>
      <c r="P30" s="3" t="s">
        <v>387</v>
      </c>
      <c r="Q30" s="6" t="s">
        <v>81</v>
      </c>
      <c r="R30" s="3" t="s">
        <v>374</v>
      </c>
      <c r="S30" s="6" t="s">
        <v>388</v>
      </c>
      <c r="T30" s="7" t="s">
        <v>389</v>
      </c>
      <c r="U30" s="6" t="s">
        <v>390</v>
      </c>
      <c r="V30" s="3" t="s">
        <v>391</v>
      </c>
      <c r="W30" s="3" t="s">
        <v>328</v>
      </c>
      <c r="X30" s="3" t="s">
        <v>88</v>
      </c>
      <c r="Y30" s="3" t="s">
        <v>392</v>
      </c>
      <c r="Z30" s="3" t="s">
        <v>393</v>
      </c>
      <c r="AA30" s="7" t="s">
        <v>53</v>
      </c>
    </row>
    <row r="31" customFormat="false" ht="120" hidden="false" customHeight="true" outlineLevel="0" collapsed="false">
      <c r="A31" s="2" t="s">
        <v>394</v>
      </c>
      <c r="B31" s="3" t="s">
        <v>28</v>
      </c>
      <c r="C31" s="3" t="s">
        <v>382</v>
      </c>
      <c r="D31" s="10" t="s">
        <v>136</v>
      </c>
      <c r="E31" s="3" t="s">
        <v>137</v>
      </c>
      <c r="F31" s="3" t="s">
        <v>138</v>
      </c>
      <c r="G31" s="3" t="s">
        <v>33</v>
      </c>
      <c r="H31" s="3" t="s">
        <v>34</v>
      </c>
      <c r="I31" s="3" t="s">
        <v>193</v>
      </c>
      <c r="J31" s="3" t="s">
        <v>194</v>
      </c>
      <c r="K31" s="5" t="s">
        <v>37</v>
      </c>
      <c r="L31" s="3" t="s">
        <v>395</v>
      </c>
      <c r="M31" s="3" t="s">
        <v>396</v>
      </c>
      <c r="N31" s="3" t="s">
        <v>397</v>
      </c>
      <c r="O31" s="3" t="s">
        <v>398</v>
      </c>
      <c r="P31" s="3" t="s">
        <v>399</v>
      </c>
      <c r="Q31" s="6" t="s">
        <v>81</v>
      </c>
      <c r="R31" s="3" t="s">
        <v>374</v>
      </c>
      <c r="S31" s="6" t="s">
        <v>400</v>
      </c>
      <c r="T31" s="7" t="s">
        <v>401</v>
      </c>
      <c r="U31" s="6" t="s">
        <v>402</v>
      </c>
      <c r="V31" s="3" t="s">
        <v>403</v>
      </c>
      <c r="W31" s="3" t="s">
        <v>328</v>
      </c>
      <c r="X31" s="3" t="s">
        <v>204</v>
      </c>
      <c r="Y31" s="3" t="s">
        <v>392</v>
      </c>
      <c r="Z31" s="3" t="s">
        <v>393</v>
      </c>
      <c r="AA31" s="7" t="s">
        <v>53</v>
      </c>
    </row>
    <row r="32" customFormat="false" ht="120" hidden="false" customHeight="true" outlineLevel="0" collapsed="false">
      <c r="A32" s="2" t="s">
        <v>404</v>
      </c>
      <c r="B32" s="3" t="s">
        <v>28</v>
      </c>
      <c r="C32" s="3" t="s">
        <v>382</v>
      </c>
      <c r="D32" s="10" t="s">
        <v>136</v>
      </c>
      <c r="E32" s="3" t="s">
        <v>137</v>
      </c>
      <c r="F32" s="3" t="s">
        <v>138</v>
      </c>
      <c r="G32" s="3" t="s">
        <v>33</v>
      </c>
      <c r="H32" s="3" t="s">
        <v>34</v>
      </c>
      <c r="I32" s="3" t="s">
        <v>59</v>
      </c>
      <c r="J32" s="3" t="s">
        <v>60</v>
      </c>
      <c r="K32" s="5" t="s">
        <v>37</v>
      </c>
      <c r="L32" s="3" t="s">
        <v>405</v>
      </c>
      <c r="M32" s="3" t="s">
        <v>406</v>
      </c>
      <c r="N32" s="3" t="s">
        <v>407</v>
      </c>
      <c r="O32" s="3" t="s">
        <v>408</v>
      </c>
      <c r="P32" s="3" t="s">
        <v>409</v>
      </c>
      <c r="Q32" s="6" t="s">
        <v>211</v>
      </c>
      <c r="R32" s="3" t="s">
        <v>374</v>
      </c>
      <c r="S32" s="6" t="s">
        <v>410</v>
      </c>
      <c r="T32" s="7" t="s">
        <v>411</v>
      </c>
      <c r="U32" s="6" t="s">
        <v>412</v>
      </c>
      <c r="V32" s="3" t="s">
        <v>391</v>
      </c>
      <c r="W32" s="3" t="s">
        <v>328</v>
      </c>
      <c r="X32" s="3" t="s">
        <v>204</v>
      </c>
      <c r="Y32" s="3" t="s">
        <v>392</v>
      </c>
      <c r="Z32" s="3" t="s">
        <v>393</v>
      </c>
      <c r="AA32" s="7" t="s">
        <v>53</v>
      </c>
    </row>
    <row r="33" customFormat="false" ht="120" hidden="false" customHeight="true" outlineLevel="0" collapsed="false">
      <c r="A33" s="2" t="s">
        <v>413</v>
      </c>
      <c r="B33" s="3" t="s">
        <v>28</v>
      </c>
      <c r="C33" s="3" t="s">
        <v>414</v>
      </c>
      <c r="D33" s="4" t="s">
        <v>30</v>
      </c>
      <c r="E33" s="3" t="s">
        <v>31</v>
      </c>
      <c r="F33" s="3" t="s">
        <v>32</v>
      </c>
      <c r="G33" s="3" t="s">
        <v>33</v>
      </c>
      <c r="H33" s="3" t="s">
        <v>34</v>
      </c>
      <c r="I33" s="3" t="s">
        <v>59</v>
      </c>
      <c r="J33" s="3" t="s">
        <v>60</v>
      </c>
      <c r="K33" s="5" t="s">
        <v>37</v>
      </c>
      <c r="L33" s="3" t="s">
        <v>415</v>
      </c>
      <c r="M33" s="3" t="s">
        <v>416</v>
      </c>
      <c r="N33" s="3" t="s">
        <v>417</v>
      </c>
      <c r="O33" s="3" t="s">
        <v>418</v>
      </c>
      <c r="P33" s="3" t="s">
        <v>419</v>
      </c>
      <c r="Q33" s="6" t="s">
        <v>130</v>
      </c>
      <c r="R33" s="3" t="s">
        <v>374</v>
      </c>
      <c r="S33" s="6" t="s">
        <v>420</v>
      </c>
      <c r="T33" s="7" t="s">
        <v>421</v>
      </c>
      <c r="U33" s="6" t="s">
        <v>422</v>
      </c>
      <c r="V33" s="3" t="s">
        <v>423</v>
      </c>
      <c r="W33" s="3" t="s">
        <v>106</v>
      </c>
      <c r="X33" s="3" t="s">
        <v>123</v>
      </c>
      <c r="Y33" s="3" t="s">
        <v>424</v>
      </c>
      <c r="Z33" s="3" t="s">
        <v>425</v>
      </c>
      <c r="AA33" s="7" t="s">
        <v>426</v>
      </c>
    </row>
    <row r="34" customFormat="false" ht="120" hidden="false" customHeight="true" outlineLevel="0" collapsed="false">
      <c r="A34" s="2" t="s">
        <v>427</v>
      </c>
      <c r="B34" s="3" t="s">
        <v>28</v>
      </c>
      <c r="C34" s="3" t="s">
        <v>428</v>
      </c>
      <c r="D34" s="8" t="s">
        <v>56</v>
      </c>
      <c r="E34" s="3" t="s">
        <v>57</v>
      </c>
      <c r="F34" s="3" t="s">
        <v>58</v>
      </c>
      <c r="G34" s="3" t="s">
        <v>33</v>
      </c>
      <c r="H34" s="3" t="s">
        <v>34</v>
      </c>
      <c r="I34" s="3" t="s">
        <v>429</v>
      </c>
      <c r="J34" s="3" t="s">
        <v>430</v>
      </c>
      <c r="K34" s="5" t="s">
        <v>37</v>
      </c>
      <c r="L34" s="3" t="s">
        <v>431</v>
      </c>
      <c r="M34" s="3" t="s">
        <v>432</v>
      </c>
      <c r="N34" s="3" t="s">
        <v>433</v>
      </c>
      <c r="O34" s="3" t="s">
        <v>434</v>
      </c>
      <c r="P34" s="3" t="s">
        <v>435</v>
      </c>
      <c r="Q34" s="6" t="s">
        <v>436</v>
      </c>
      <c r="R34" s="3" t="s">
        <v>374</v>
      </c>
      <c r="S34" s="6" t="s">
        <v>437</v>
      </c>
      <c r="T34" s="7" t="s">
        <v>438</v>
      </c>
      <c r="U34" s="6" t="s">
        <v>439</v>
      </c>
      <c r="V34" s="3" t="s">
        <v>440</v>
      </c>
      <c r="W34" s="3" t="s">
        <v>106</v>
      </c>
      <c r="X34" s="3" t="s">
        <v>107</v>
      </c>
      <c r="Y34" s="3" t="s">
        <v>441</v>
      </c>
      <c r="Z34" s="3" t="s">
        <v>442</v>
      </c>
      <c r="AA34" s="7" t="s">
        <v>426</v>
      </c>
    </row>
    <row r="35" customFormat="false" ht="120" hidden="false" customHeight="true" outlineLevel="0" collapsed="false">
      <c r="A35" s="2" t="s">
        <v>443</v>
      </c>
      <c r="B35" s="3" t="s">
        <v>28</v>
      </c>
      <c r="C35" s="3" t="s">
        <v>428</v>
      </c>
      <c r="D35" s="8" t="s">
        <v>56</v>
      </c>
      <c r="E35" s="3" t="s">
        <v>57</v>
      </c>
      <c r="F35" s="3" t="s">
        <v>58</v>
      </c>
      <c r="G35" s="3" t="s">
        <v>94</v>
      </c>
      <c r="H35" s="3" t="s">
        <v>95</v>
      </c>
      <c r="I35" s="3" t="s">
        <v>263</v>
      </c>
      <c r="J35" s="3" t="s">
        <v>264</v>
      </c>
      <c r="K35" s="5" t="s">
        <v>37</v>
      </c>
      <c r="L35" s="3" t="s">
        <v>444</v>
      </c>
      <c r="M35" s="3" t="s">
        <v>445</v>
      </c>
      <c r="N35" s="3" t="s">
        <v>446</v>
      </c>
      <c r="O35" s="3" t="s">
        <v>447</v>
      </c>
      <c r="P35" s="3" t="s">
        <v>448</v>
      </c>
      <c r="Q35" s="6" t="s">
        <v>101</v>
      </c>
      <c r="R35" s="3" t="s">
        <v>374</v>
      </c>
      <c r="S35" s="6" t="s">
        <v>449</v>
      </c>
      <c r="T35" s="7" t="s">
        <v>450</v>
      </c>
      <c r="U35" s="6" t="s">
        <v>451</v>
      </c>
      <c r="V35" s="3" t="s">
        <v>452</v>
      </c>
      <c r="W35" s="3" t="s">
        <v>106</v>
      </c>
      <c r="X35" s="3" t="s">
        <v>107</v>
      </c>
      <c r="Y35" s="3" t="s">
        <v>441</v>
      </c>
      <c r="Z35" s="3" t="s">
        <v>442</v>
      </c>
      <c r="AA35" s="7" t="s">
        <v>426</v>
      </c>
    </row>
    <row r="36" customFormat="false" ht="120" hidden="false" customHeight="true" outlineLevel="0" collapsed="false">
      <c r="A36" s="2" t="s">
        <v>453</v>
      </c>
      <c r="B36" s="3" t="s">
        <v>28</v>
      </c>
      <c r="C36" s="3" t="s">
        <v>454</v>
      </c>
      <c r="D36" s="8" t="s">
        <v>56</v>
      </c>
      <c r="E36" s="3" t="s">
        <v>57</v>
      </c>
      <c r="F36" s="3" t="s">
        <v>58</v>
      </c>
      <c r="G36" s="3" t="s">
        <v>33</v>
      </c>
      <c r="H36" s="3" t="s">
        <v>34</v>
      </c>
      <c r="I36" s="3" t="s">
        <v>35</v>
      </c>
      <c r="J36" s="3" t="s">
        <v>36</v>
      </c>
      <c r="K36" s="5" t="s">
        <v>37</v>
      </c>
      <c r="L36" s="3" t="s">
        <v>455</v>
      </c>
      <c r="M36" s="3" t="s">
        <v>456</v>
      </c>
      <c r="N36" s="3" t="s">
        <v>457</v>
      </c>
      <c r="O36" s="3" t="s">
        <v>458</v>
      </c>
      <c r="P36" s="3" t="s">
        <v>459</v>
      </c>
      <c r="Q36" s="6" t="s">
        <v>43</v>
      </c>
      <c r="R36" s="3" t="s">
        <v>374</v>
      </c>
      <c r="S36" s="6" t="s">
        <v>460</v>
      </c>
      <c r="T36" s="7" t="s">
        <v>461</v>
      </c>
      <c r="U36" s="6" t="s">
        <v>462</v>
      </c>
      <c r="V36" s="3" t="s">
        <v>463</v>
      </c>
      <c r="W36" s="3" t="s">
        <v>49</v>
      </c>
      <c r="X36" s="3" t="s">
        <v>464</v>
      </c>
      <c r="Y36" s="3" t="s">
        <v>465</v>
      </c>
      <c r="Z36" s="3" t="s">
        <v>380</v>
      </c>
      <c r="AA36" s="7" t="s">
        <v>466</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 ref="T30" r:id="rId57" location="L22%20https://github.com/spencerwon/navanax1/blob/tester/src/navanax/governor.py%23L169" display="https://github.com/spencerwon/navanax1/blob/tester/config/base.yaml#L22 https://github.com/spencerwon/navanax1/blob/tester/src/navanax/governor.py#L169"/>
    <hyperlink ref="AA30" r:id="rId58" display="#1"/>
    <hyperlink ref="T31" r:id="rId59" location="L217%20https://github.com/spencerwon/navanax1/blob/tester/src/navanax/governor.py%23L360" display="https://github.com/spencerwon/navanax1/blob/tester/src/navanax/governor.py#L217 https://github.com/spencerwon/navanax1/blob/tester/src/navanax/governor.py#L360"/>
    <hyperlink ref="AA31" r:id="rId60" display="#1"/>
    <hyperlink ref="T32" r:id="rId61" location="L208%20https://github.com/spencerwon/navanax1/blob/tester/src/navanax/cli.py%23L194" display="https://github.com/spencerwon/navanax1/blob/tester/src/navanax/opstore.py#L208 https://github.com/spencerwon/navanax1/blob/tester/src/navanax/cli.py#L194"/>
    <hyperlink ref="AA32" r:id="rId62" display="#1"/>
    <hyperlink ref="T33" r:id="rId63" location="L150%20https://github.com/spencerwon/navanax1/blob/tester/src/navanax/codec.py%23L168%20https://github.com/spencerwon/navanax1/blob/tester/src/navanax/codec.py%23L300" display="https://github.com/spencerwon/navanax1/blob/tester/src/navanax/codec.py#L150 https://github.com/spencerwon/navanax1/blob/tester/src/navanax/codec.py#L168 https://github.com/spencerwon/navanax1/blob/tester/src/navanax/codec.py#L300"/>
    <hyperlink ref="AA33" r:id="rId64" display="#2"/>
    <hyperlink ref="T34" r:id="rId65" location="L61%20https://github.com/spencerwon/navanax1/blob/tester/tools/secrets_check.py%23L1" display="https://github.com/spencerwon/navanax1/blob/tester/.github/workflows/ci.yml#L61 https://github.com/spencerwon/navanax1/blob/tester/tools/secrets_check.py#L1"/>
    <hyperlink ref="AA34" r:id="rId66" display="#2"/>
    <hyperlink ref="T35" r:id="rId67" location="L12" display="https://github.com/spencerwon/navanax1/blob/tester/.github/workflows/ci.yml#L12"/>
    <hyperlink ref="AA35" r:id="rId68" display="#2"/>
    <hyperlink ref="T36" r:id="rId69" location="L1%20https://github.com/spencerwon/navanax1/blob/tester/src/navanax/stream.py%23L755%20https://github.com/spencerwon/navanax1/blob/tester/tools/preflight.py%23L52" display="https://github.com/spencerwon/navanax1/blob/tester/src/navanax/tls.py#L1 https://github.com/spencerwon/navanax1/blob/tester/src/navanax/stream.py#L755 https://github.com/spencerwon/navanax1/blob/tester/tools/preflight.py#L52"/>
    <hyperlink ref="AA36" r:id="rId70" display="#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7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467</v>
      </c>
    </row>
    <row r="2" customFormat="false" ht="33.75" hidden="false" customHeight="true" outlineLevel="0" collapsed="false">
      <c r="A2" s="12" t="s">
        <v>468</v>
      </c>
      <c r="B2" s="12"/>
      <c r="C2" s="12"/>
      <c r="D2" s="12"/>
      <c r="E2" s="12"/>
    </row>
    <row r="4" customFormat="false" ht="15" hidden="false" customHeight="false" outlineLevel="0" collapsed="false">
      <c r="A4" s="13" t="s">
        <v>3</v>
      </c>
      <c r="B4" s="13" t="s">
        <v>469</v>
      </c>
      <c r="C4" s="13" t="s">
        <v>5</v>
      </c>
      <c r="D4" s="13" t="s">
        <v>470</v>
      </c>
      <c r="E4" s="13" t="s">
        <v>471</v>
      </c>
    </row>
    <row r="5" customFormat="false" ht="15" hidden="false" customHeight="false" outlineLevel="0" collapsed="false">
      <c r="A5" s="14" t="s">
        <v>472</v>
      </c>
      <c r="B5" s="15" t="s">
        <v>473</v>
      </c>
      <c r="C5" s="15" t="s">
        <v>474</v>
      </c>
      <c r="D5" s="15" t="n">
        <f aca="false">COUNTIFS('Bug log'!$D$2:$D$36,$A5,'Bug log'!$K$2:$K$36,"&lt;&gt;fixed")</f>
        <v>0</v>
      </c>
      <c r="E5" s="15" t="n">
        <f aca="false">COUNTIF('Bug log'!$D$2:$D$36,$A5)</f>
        <v>0</v>
      </c>
    </row>
    <row r="6" customFormat="false" ht="15" hidden="false" customHeight="false" outlineLevel="0" collapsed="false">
      <c r="A6" s="16" t="s">
        <v>475</v>
      </c>
      <c r="B6" s="15" t="s">
        <v>476</v>
      </c>
      <c r="C6" s="15" t="s">
        <v>477</v>
      </c>
      <c r="D6" s="15" t="n">
        <f aca="false">COUNTIFS('Bug log'!$D$2:$D$36,$A6,'Bug log'!$K$2:$K$36,"&lt;&gt;fixed")</f>
        <v>0</v>
      </c>
      <c r="E6" s="15" t="n">
        <f aca="false">COUNTIF('Bug log'!$D$2:$D$36,$A6)</f>
        <v>0</v>
      </c>
    </row>
    <row r="7" customFormat="false" ht="15" hidden="false" customHeight="false" outlineLevel="0" collapsed="false">
      <c r="A7" s="17" t="s">
        <v>30</v>
      </c>
      <c r="B7" s="15" t="s">
        <v>31</v>
      </c>
      <c r="C7" s="15" t="s">
        <v>32</v>
      </c>
      <c r="D7" s="15" t="n">
        <f aca="false">COUNTIFS('Bug log'!$D$2:$D$36,$A7,'Bug log'!$K$2:$K$36,"&lt;&gt;fixed")</f>
        <v>0</v>
      </c>
      <c r="E7" s="15" t="n">
        <f aca="false">COUNTIF('Bug log'!$D$2:$D$36,$A7)</f>
        <v>18</v>
      </c>
    </row>
    <row r="8" customFormat="false" ht="15" hidden="false" customHeight="false" outlineLevel="0" collapsed="false">
      <c r="A8" s="18" t="s">
        <v>136</v>
      </c>
      <c r="B8" s="15" t="s">
        <v>137</v>
      </c>
      <c r="C8" s="15" t="s">
        <v>138</v>
      </c>
      <c r="D8" s="15" t="n">
        <f aca="false">COUNTIFS('Bug log'!$D$2:$D$36,$A8,'Bug log'!$K$2:$K$36,"&lt;&gt;fixed")</f>
        <v>0</v>
      </c>
      <c r="E8" s="15" t="n">
        <f aca="false">COUNTIF('Bug log'!$D$2:$D$36,$A8)</f>
        <v>7</v>
      </c>
    </row>
    <row r="9" customFormat="false" ht="15" hidden="false" customHeight="false" outlineLevel="0" collapsed="false">
      <c r="A9" s="19" t="s">
        <v>56</v>
      </c>
      <c r="B9" s="15" t="s">
        <v>57</v>
      </c>
      <c r="C9" s="15" t="s">
        <v>58</v>
      </c>
      <c r="D9" s="15" t="n">
        <f aca="false">COUNTIFS('Bug log'!$D$2:$D$36,$A9,'Bug log'!$K$2:$K$36,"&lt;&gt;fixed")</f>
        <v>0</v>
      </c>
      <c r="E9" s="15" t="n">
        <f aca="false">COUNTIF('Bug log'!$D$2:$D$36,$A9)</f>
        <v>9</v>
      </c>
    </row>
    <row r="10" customFormat="false" ht="15" hidden="false" customHeight="false" outlineLevel="0" collapsed="false">
      <c r="A10" s="20" t="s">
        <v>91</v>
      </c>
      <c r="B10" s="15" t="s">
        <v>92</v>
      </c>
      <c r="C10" s="15" t="s">
        <v>93</v>
      </c>
      <c r="D10" s="15" t="n">
        <f aca="false">COUNTIFS('Bug log'!$D$2:$D$36,$A10,'Bug log'!$K$2:$K$36,"&lt;&gt;fixed")</f>
        <v>0</v>
      </c>
      <c r="E10" s="15" t="n">
        <f aca="false">COUNTIF('Bug log'!$D$2:$D$36,$A10)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228</v>
      </c>
      <c r="B15" s="15" t="s">
        <v>229</v>
      </c>
    </row>
    <row r="16" customFormat="false" ht="15" hidden="false" customHeight="false" outlineLevel="0" collapsed="false">
      <c r="A16" s="22" t="s">
        <v>240</v>
      </c>
      <c r="B16" s="15" t="s">
        <v>93</v>
      </c>
    </row>
    <row r="18" customFormat="false" ht="15" hidden="false" customHeight="false" outlineLevel="0" collapsed="false">
      <c r="A18" s="21" t="s">
        <v>478</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479</v>
      </c>
      <c r="B21" s="15" t="s">
        <v>480</v>
      </c>
    </row>
    <row r="22" customFormat="false" ht="15" hidden="false" customHeight="false" outlineLevel="0" collapsed="false">
      <c r="A22" s="22" t="s">
        <v>481</v>
      </c>
      <c r="B22" s="15" t="s">
        <v>482</v>
      </c>
    </row>
    <row r="23" customFormat="false" ht="15" hidden="false" customHeight="false" outlineLevel="0" collapsed="false">
      <c r="A23" s="22" t="s">
        <v>193</v>
      </c>
      <c r="B23" s="15" t="s">
        <v>194</v>
      </c>
    </row>
    <row r="24" customFormat="false" ht="15" hidden="false" customHeight="false" outlineLevel="0" collapsed="false">
      <c r="A24" s="22" t="s">
        <v>250</v>
      </c>
      <c r="B24" s="15" t="s">
        <v>251</v>
      </c>
    </row>
    <row r="25" customFormat="false" ht="15" hidden="false" customHeight="false" outlineLevel="0" collapsed="false">
      <c r="A25" s="22" t="s">
        <v>429</v>
      </c>
      <c r="B25" s="15" t="s">
        <v>430</v>
      </c>
    </row>
    <row r="26" customFormat="false" ht="15" hidden="false" customHeight="false" outlineLevel="0" collapsed="false">
      <c r="A26" s="22" t="s">
        <v>263</v>
      </c>
      <c r="B26" s="15" t="s">
        <v>264</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483</v>
      </c>
    </row>
    <row r="2" customFormat="false" ht="15" hidden="false" customHeight="false" outlineLevel="0" collapsed="false">
      <c r="A2" s="15"/>
    </row>
    <row r="3" customFormat="false" ht="15" hidden="false" customHeight="false" outlineLevel="0" collapsed="false">
      <c r="A3" s="15" t="s">
        <v>484</v>
      </c>
    </row>
    <row r="4" customFormat="false" ht="15" hidden="false" customHeight="false" outlineLevel="0" collapsed="false">
      <c r="A4" s="15" t="s">
        <v>485</v>
      </c>
    </row>
    <row r="5" customFormat="false" ht="15" hidden="false" customHeight="false" outlineLevel="0" collapsed="false">
      <c r="A5" s="15" t="s">
        <v>486</v>
      </c>
    </row>
    <row r="6" customFormat="false" ht="15" hidden="false" customHeight="false" outlineLevel="0" collapsed="false">
      <c r="A6" s="15" t="s">
        <v>487</v>
      </c>
    </row>
    <row r="7" customFormat="false" ht="15" hidden="false" customHeight="false" outlineLevel="0" collapsed="false">
      <c r="A7" s="15"/>
    </row>
    <row r="8" customFormat="false" ht="15" hidden="false" customHeight="false" outlineLevel="0" collapsed="false">
      <c r="A8" s="15" t="s">
        <v>488</v>
      </c>
    </row>
    <row r="9" customFormat="false" ht="15" hidden="false" customHeight="false" outlineLevel="0" collapsed="false">
      <c r="A9" s="15" t="s">
        <v>489</v>
      </c>
    </row>
    <row r="10" customFormat="false" ht="15" hidden="false" customHeight="false" outlineLevel="0" collapsed="false">
      <c r="A10" s="15"/>
    </row>
    <row r="11" customFormat="false" ht="15" hidden="false" customHeight="false" outlineLevel="0" collapsed="false">
      <c r="A11" s="15" t="s">
        <v>490</v>
      </c>
    </row>
    <row r="12" customFormat="false" ht="15" hidden="false" customHeight="false" outlineLevel="0" collapsed="false">
      <c r="A12" s="15" t="s">
        <v>491</v>
      </c>
    </row>
    <row r="13" customFormat="false" ht="15" hidden="false" customHeight="false" outlineLevel="0" collapsed="false">
      <c r="A13" s="15" t="s">
        <v>492</v>
      </c>
    </row>
    <row r="14" customFormat="false" ht="15" hidden="false" customHeight="false" outlineLevel="0" collapsed="false">
      <c r="A14" s="15" t="s">
        <v>493</v>
      </c>
    </row>
    <row r="15" customFormat="false" ht="15" hidden="false" customHeight="false" outlineLevel="0" collapsed="false">
      <c r="A15" s="15" t="s">
        <v>494</v>
      </c>
    </row>
    <row r="16" customFormat="false" ht="15" hidden="false" customHeight="false" outlineLevel="0" collapsed="false">
      <c r="A16" s="15"/>
    </row>
    <row r="17" customFormat="false" ht="15" hidden="false" customHeight="false" outlineLevel="0" collapsed="false">
      <c r="A17" s="15" t="s">
        <v>495</v>
      </c>
    </row>
    <row r="18" customFormat="false" ht="15" hidden="false" customHeight="false" outlineLevel="0" collapsed="false">
      <c r="A18" s="15" t="s">
        <v>496</v>
      </c>
    </row>
    <row r="19" customFormat="false" ht="15" hidden="false" customHeight="false" outlineLevel="0" collapsed="false">
      <c r="A19" s="15" t="s">
        <v>497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2026-09-09T10:20:39Z</dcterms:created>
  <dc:creator>openpyxl</dc:creator>
  <dc:description/>
  <dc:language>en-US</dc:language>
  <cp:lastModifiedBy/>
  <dcterms:modified xsi:type="dcterms:W3CDTF">2026-09-09T10:20:39Z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