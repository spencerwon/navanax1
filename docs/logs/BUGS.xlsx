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<sst xmlns="http://schemas.openxmlformats.org/spreadsheetml/2006/main" count="1166" uniqueCount="562">
  <si>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</si>
  <si>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</si>
  <si>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</si>
  <si>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</si>
  <si>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</si>
  <si>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</si>
  <si>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</si>
  <si>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</si>
  <si>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</si>
  <si>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</si>
  <si>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</si>
  <si>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</si>
  <si>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</si>
  <si>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</si>
  <si>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</si>
  <si>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</si>
  <si>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</si>
  <si>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</si>
  <si>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</si>
  <si>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</si>
  <si>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</si>
  <si>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</si>
  <si>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</si>
  <si>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</si>
  <si>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</si>
  <si>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</si>
  <si>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</si>
  <si>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</si>
  <si>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</si>
  <si>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</si>
  <si>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</si>
  <si>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</si>
  <si>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</si>
  <si>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</si>
  <si>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</si>
  <si>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</si>
  <si>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</si>
  <si>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</si>
  <si>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</si>
  <si>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</si>
  <si>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</si>
  <si>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</si>
  <si>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</si>
  <si>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</si>
  <si>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</si>
  <si>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</si>
  <si>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</si>
  <si>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</si>
  <si>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</si>
  <si>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</si>
  <si>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</si>
  <si>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</si>
  <si>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</si>
  <si>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</si>
  <si>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</si>
  <si>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</si>
  <si>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</si>
  <si>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</si>
  <si>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</si>
  <si>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</si>
  <si>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</si>
  <si>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</si>
  <si>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</si>
  <si>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</si>
  <si>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</si>
  <si>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</si>
  <si>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</si>
  <si>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</si>
  <si>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</si>
  <si>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</si>
  <si>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</si>
  <si>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</si>
  <si>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</si>
  <si>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</si>
  <si>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</si>
  <si>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</si>
  <si>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</si>
  <si>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</si>
  <si>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</si>
  <si>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</si>
  <si>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</si>
  <si>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</si>
  <si>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</si>
  <si>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</si>
  <si>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</si>
  <si>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</si>
  <si>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</si>
  <si>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</si>
  <si>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</si>
  <si>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</si>
  <si>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</si>
  <si>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</si>
  <si>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</si>
  <si>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</si>
  <si>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</si>
  <si>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</si>
  <si>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</si>
  <si>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</si>
  <si>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</si>
  <si>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</si>
  <si>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</si>
  <si>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</si>
  <si>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</si>
  <si>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</si>
  <si>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</si>
  <si>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</si>
  <si>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</si>
  <si>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</si>
  <si>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</si>
  <si>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</si>
  <si>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</si>
  <si>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</si>
  <si>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</si>
  <si>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</si>
  <si>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</si>
  <si>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</si>
  <si>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</si>
  <si>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</si>
  <si>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</si>
  <si>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</si>
  <si>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</si>
  <si>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</si>
  <si>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</si>
  <si>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</si>
  <si>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</si>
  <si>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</si>
  <si>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</si>
  <si>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</si>
  <si>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</si>
  <si>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</si>
  <si>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</si>
  <si>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</si>
  <si>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</si>
  <si>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</si>
  <si>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</si>
  <si>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</si>
  <si>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</si>
  <si>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</si>
  <si>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</si>
  <si>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</si>
  <si>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</si>
  <si>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</si>
  <si>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</si>
  <si>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</si>
  <si>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</si>
  <si>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</si>
  <si>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</si>
  <si>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</si>
  <si>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</si>
  <si>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</si>
  <si>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</si>
  <si>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</si>
  <si>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</si>
  <si>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</si>
  <si>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</si>
  <si>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</si>
  <si>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</si>
  <si>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</si>
  <si>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</si>
  <si>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</si>
  <si>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</si>
  <si>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</si>
  <si>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</si>
  <si>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</si>
  <si>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</si>
  <si>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</si>
  <si>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</si>
  <si>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</si>
  <si>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</si>
  <si>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</si>
  <si>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</si>
  <si>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</si>
  <si>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</si>
  <si>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</si>
  <si>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</si>
  <si>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</si>
  <si>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</si>
  <si>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</si>
  <si>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</si>
  <si>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</si>
  <si>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</si>
  <si>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</si>
  <si>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</si>
  <si>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</si>
  <si>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</si>
  <si>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</si>
  <si>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</si>
  <si>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</si>
  <si>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</si>
  <si>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</si>
  <si>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</si>
  <si>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</si>
  <si>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</si>
  <si>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</si>
  <si>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</si>
  <si>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</si>
  <si>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</si>
  <si>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</si>
  <si>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</si>
  <si>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</si>
  <si>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</si>
  <si>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</si>
  <si>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tests/selftest.py::test_governor_recovers_from_a_429</t>
  </si>
  <si>
    <t xml:space="preserve">validator agent (opus), first review; re-confirmed and escalated in the second</t>
  </si>
  <si>
    <t xml:space="preserve">2026-09-09T11:20:00-05:00</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</si>
  <si>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</si>
  <si>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</si>
  <si>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</si>
  <si>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</si>
  <si>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</si>
  <si>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</si>
  <si>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</si>
  <si>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</si>
  <si>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</si>
  <si>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tests/selftest.py::test_gaps_are_labelled_by_what_can_actually_be_recovered</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</si>
  <si>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</si>
  <si>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</si>
  <si>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</si>
  <si>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</si>
  <si>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</si>
  <si>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</si>
  <si>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</si>
  <si>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</si>
  <si>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</si>
  <si>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</si>
  <si>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</si>
  <si>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</si>
  <si>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</si>
  <si>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</si>
  <si>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</si>
  <si>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</si>
  <si>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</si>
  <si>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</si>
  <si>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</si>
  <si>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</si>
  <si>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</si>
  <si>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</si>
  <si>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</si>
  <si>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</si>
  <si>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</si>
  <si>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</si>
  <si>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</si>
  <si>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</si>
  <si>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</si>
  <si>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</si>
  <si>
    <t xml:space="preserve">No test asserts ordering between priorities under contention.</t>
  </si>
  <si>
    <t xml:space="preserve">src/navanax/governor.py:L175</t>
  </si>
  <si>
    <t xml:space="preserve">https://github.com/spencerwon/navanax1/blob/feat/phase0-ingestion/src/navanax/governor.py#L175</t>
  </si>
  <si>
    <t xml:space="preserve">tests/selftest.py::test_dead_priority_queue_is_gone</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</si>
  <si>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</si>
  <si>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</si>
  <si>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</si>
  <si>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</si>
  <si>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</si>
  <si>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</si>
  <si>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</si>
  <si>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</si>
  <si>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</si>
  <si>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</si>
  <si>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</si>
  <si>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tests/selftest.py::test_missing_event_timestamp_is_counted</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</si>
  <si>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</si>
  <si>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</si>
  <si>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</si>
  <si>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</si>
  <si>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</si>
  <si>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</si>
  <si>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</si>
  <si>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</si>
  <si>
    <t xml:space="preserve">No test injects a writer failure.</t>
  </si>
  <si>
    <t xml:space="preserve">src/navanax/stream.py:L519</t>
  </si>
  <si>
    <t xml:space="preserve">https://github.com/spencerwon/navanax1/blob/feat/phase0-ingestion/src/navanax/stream.py#L519</t>
  </si>
  <si>
    <t xml:space="preserve">tests/selftest.py::test_disk_failure_is_not_blamed_on_the_stream</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</si>
  <si>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</si>
  <si>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</si>
  <si>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</si>
  <si>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</si>
  <si>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</si>
  <si>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</si>
  <si>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</si>
  <si>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</si>
  <si>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</si>
  <si>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</si>
  <si>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</si>
  <si>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</si>
  <si>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</si>
  <si>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</si>
  <si>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</si>
  <si>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</si>
  <si>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</si>
  <si>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</si>
  <si>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</si>
  <si>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</si>
  <si>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</si>
  <si>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</si>
  <si>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</si>
  <si>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</si>
  <si>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</si>
  <si>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</si>
  <si>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</si>
  <si>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</si>
  <si>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</si>
  <si>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</si>
  <si>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</si>
  <si>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</si>
  <si>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</si>
  <si>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</si>
  <si>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</si>
  <si>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</si>
  <si>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</si>
  <si>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</si>
  <si>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</si>
  <si>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</si>
  <si>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</si>
  <si>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</si>
  <si>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</si>
  <si>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</si>
  <si>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</si>
  <si>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</si>
  <si>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</si>
  <si>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</si>
  <si>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</si>
  <si>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</si>
  <si>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</si>
  <si>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</si>
  <si>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</si>
  <si>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</si>
  <si>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</si>
  <si>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</si>
  <si>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</si>
  <si>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</si>
  <si>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</si>
  <si>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</si>
  <si>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</si>
  <si>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</si>
  <si>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</si>
  <si>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</si>
  <si>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</si>
  <si>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</si>
  <si>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</si>
  <si>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</si>
  <si>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</si>
  <si>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</si>
  <si>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</si>
  <si>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</si>
  <si>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</si>
  <si>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</si>
  <si>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</si>
  <si>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</si>
  <si>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</si>
  <si>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</si>
  <si>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</si>
  <si>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</si>
  <si>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</si>
  <si>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</si>
  <si>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</si>
  <si>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</si>
  <si>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</si>
  <si>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</si>
  <si>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</si>
  <si>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</si>
  <si>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</si>
  <si>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</si>
  <si>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</si>
  <si>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</si>
  <si>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</si>
  <si>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</si>
  <si>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BUG-20260909-028</t>
  </si>
  <si>
    <t xml:space="preserve">10:30:00</t>
  </si>
  <si>
    <t xml:space="preserve">The falsified 600/hr figure survived, unqualified, in five agent charters -- and BUG-014's own test could not see them</t>
  </si>
  <si>
    <t xml:space="preserve">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</si>
  <si>
    <t xml:space="preserve">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</si>
  <si>
    <t xml:space="preserve">All five charters corrected to 120 with provenance and the cache-HIT caveat. The scan is now repo-wide -- every tracked text file, the way tools/buglog.py already scans for bug ids -- excluding only the bug log itself, whose job is to record the wrong number.</t>
  </si>
  <si>
    <t xml:space="preserve">A check with a hardcoded scope, described in the ledger as having universal scope. The description is the part that did the damage: it converted an unexamined gap into a settled question.</t>
  </si>
  <si>
    <t xml:space="preserve">tester</t>
  </si>
  <si>
    <t xml:space="preserve">.claude/agents/data-engineer.md:L18  ·  .claude/agents/research.md:L18  ·  .claude/agents/orchestrator.md:L47  ·  .claude/agents/build-reporter.md:L31  ·  .claude/agents/docs-explainer.md:L23</t>
  </si>
  <si>
    <t xml:space="preserve">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</si>
  <si>
    <t xml:space="preserve">qa-auditor agent (sonnet), first run -- reconciling session claims against the repo</t>
  </si>
  <si>
    <t xml:space="preserve">qa-auditor</t>
  </si>
  <si>
    <t xml:space="preserve">2026-09-09T10:30:00-05:00</t>
  </si>
  <si>
    <t xml:space="preserve">2026-09-09T10:45:00-05:00</t>
  </si>
  <si>
    <t xml:space="preserve">BUG-20260909-029</t>
  </si>
  <si>
    <t xml:space="preserve">11:40:00</t>
  </si>
  <si>
    <t xml:space="preserve">config/base.yaml said the governor reads x-ratelimit-limit and adapts; nothing read it</t>
  </si>
  <si>
    <t xml:space="preserve">The config comment was written from the design, not from the code.</t>
  </si>
  <si>
    <t xml:space="preserve">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</si>
  <si>
    <t xml:space="preserve">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</si>
  <si>
    <t xml:space="preserve">No test asserted that any header changed capacity. The qa-auditor's numbers check compares values, not claimed mechanisms.</t>
  </si>
  <si>
    <t xml:space="preserve">config/base.yaml:L22  ·  src/navanax/governor.py:L169</t>
  </si>
  <si>
    <t xml:space="preserve">https://github.com/spencerwon/navanax1/blob/tester/config/base.yaml#L22 https://github.com/spencerwon/navanax1/blob/tester/src/navanax/governor.py#L169</t>
  </si>
  <si>
    <t xml:space="preserve">tests/selftest.py::test_governor_adapts_capacity_from_server</t>
  </si>
  <si>
    <t xml:space="preserve">tech-lead agent (opus), third gate review</t>
  </si>
  <si>
    <t xml:space="preserve">2026-09-09T11:40:00-05:00</t>
  </si>
  <si>
    <t xml:space="preserve">2026-09-09T12:00:00-05:00</t>
  </si>
  <si>
    <t xml:space="preserve">BUG-20260909-030</t>
  </si>
  <si>
    <t xml:space="preserve">BUG-012's fix discarded a truthful "remaining 0" reported on a successful response</t>
  </si>
  <si>
    <t xml:space="preserve">One field carried two meanings -- a ceiling WE imposed after a 429, and one the SERVER reported -- and the fix lifted both. The first attempt at fixing this made the block expiry do the same thing, which the pre-existing test caught.</t>
  </si>
  <si>
    <t xml:space="preserve">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</si>
  <si>
    <t xml:space="preserve">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</si>
  <si>
    <t xml:space="preserve">BUG-012's test asserted recovery and never asserted that the server's own 'no' was still honoured.</t>
  </si>
  <si>
    <t xml:space="preserve">src/navanax/governor.py:L217  ·  src/navanax/governor.py:L360</t>
  </si>
  <si>
    <t xml:space="preserve">https://github.com/spencerwon/navanax1/blob/tester/src/navanax/governor.py#L217 https://github.com/spencerwon/navanax1/blob/tester/src/navanax/governor.py#L360</t>
  </si>
  <si>
    <t xml:space="preserve">tests/selftest.py::test_truthful_zero_remaining_is_not_discarded</t>
  </si>
  <si>
    <t xml:space="preserve">tech-lead agent (opus), third gate review; the pre-existing 'server header caps local optimism' assertion caught the first attempt at the fix</t>
  </si>
  <si>
    <t xml:space="preserve">BUG-20260909-031</t>
  </si>
  <si>
    <t xml:space="preserve">BUG-013 redefined backfillable and made the backfill worklist permanently empty</t>
  </si>
  <si>
    <t xml:space="preserve">A field's meaning changed and one of its readers was not revisited.</t>
  </si>
  <si>
    <t xml:space="preserve">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</si>
  <si>
    <t xml:space="preserve">The gap register now carries backfillable_classes and irrecoverable_classes (with an in-place migration for existing stores). unbackfilled_gaps() returns closed, un-backfilled gaps with at least one recoverable class -- the question a backfiller actually asks.</t>
  </si>
  <si>
    <t xml:space="preserve">No test asserted what `navanax status` shows after a real reconnect gap.</t>
  </si>
  <si>
    <t xml:space="preserve">src/navanax/opstore.py:L208  ·  src/navanax/cli.py:L194</t>
  </si>
  <si>
    <t xml:space="preserve">https://github.com/spencerwon/navanax1/blob/tester/src/navanax/opstore.py#L208 https://github.com/spencerwon/navanax1/blob/tester/src/navanax/cli.py#L194</t>
  </si>
  <si>
    <t xml:space="preserve">tests/selftest.py::test_backfill_worklist_is_not_vacuous</t>
  </si>
  <si>
    <t xml:space="preserve">BUG-20260909-032</t>
  </si>
  <si>
    <t xml:space="preserve">12:10:00</t>
  </si>
  <si>
    <t xml:space="preserve">First real-zstandard CI run turned the codec gate red -- the gate's "last frame" heuristic assumed gzip's writer behaviour, and the frame walk still guessed boundaries by magic scanning</t>
  </si>
  <si>
    <t xml:space="preserve">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</si>
  <si>
    <t xml:space="preserve">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</si>
  <si>
    <t xml:space="preserve">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</si>
  <si>
    <t xml:space="preserve">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</si>
  <si>
    <t xml:space="preserve">src/navanax/codec.py:L150  ·  src/navanax/codec.py:L168  ·  src/navanax/codec.py:L300</t>
  </si>
  <si>
    <t xml:space="preserve">https://github.com/spencerwon/navanax1/blob/tester/src/navanax/codec.py#L150 https://github.com/spencerwon/navanax1/blob/tester/src/navanax/codec.py#L168 https://github.com/spencerwon/navanax1/blob/tester/src/navanax/codec.py#L300</t>
  </si>
  <si>
    <t xml:space="preserve">tests/selftest.py::test_startup_gate_refuses_a_lying_codec</t>
  </si>
  <si>
    <t xml:space="preserve">GitHub Actions CI on the tester branch -- the first time the production codec was ever executed by anything</t>
  </si>
  <si>
    <t xml:space="preserve">2026-09-09T12:10:00-05:00</t>
  </si>
  <si>
    <t xml:space="preserve">2026-09-09T12:40:00-05:00</t>
  </si>
  <si>
    <t xml:space="preserve">#2</t>
  </si>
  <si>
    <t xml:space="preserve">BUG-20260909-033</t>
  </si>
  <si>
    <t xml:space="preserve">13:05:00</t>
  </si>
  <si>
    <t xml:space="preserve">SEC</t>
  </si>
  <si>
    <t xml:space="preserve">Security</t>
  </si>
  <si>
    <t xml:space="preserve">The REQ-N-11 credential gate fired on a 14-character test placeholder the first time it ever ran</t>
  </si>
  <si>
    <t xml:space="preserve">A one-line grep matching NAME=&lt;any alphanumeric&gt;. It could not distinguish a placeholder from a key because it never asked what a key looks like. Written in the same sitting as the rest of ci.yml and, like the pytest step (BUG-019), never run end to end until CI could reach it.</t>
  </si>
  <si>
    <t xml:space="preserve">None. But the failure mode is the dangerous kind for a security gate: a check that cries wolf on `OPENSEA_API_KEY=fake_key_value` teaches everyone to click past it, and the day it fires on a real 32-character key nobody looks. A gate with no precision has no authority.</t>
  </si>
  <si>
    <t xml:space="preserve">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</si>
  <si>
    <t xml:space="preserve">A CI step that had never executed. Same shape as BUG-019: the pipeline was written, not run.</t>
  </si>
  <si>
    <t xml:space="preserve">REQ-N-11</t>
  </si>
  <si>
    <t xml:space="preserve">.github/workflows/ci.yml:L61  ·  tools/secrets_check.py:L1</t>
  </si>
  <si>
    <t xml:space="preserve">https://github.com/spencerwon/navanax1/blob/tester/.github/workflows/ci.yml#L61 https://github.com/spencerwon/navanax1/blob/tester/tools/secrets_check.py#L1</t>
  </si>
  <si>
    <t xml:space="preserve">tests/selftest.py::test_secrets_gate_knows_what_a_key_looks_like</t>
  </si>
  <si>
    <t xml:space="preserve">GitHub Actions CI on PR #2 -- the step had never executed before; every earlier run died upstream of it</t>
  </si>
  <si>
    <t xml:space="preserve">2026-09-09T13:05:00-05:00</t>
  </si>
  <si>
    <t xml:space="preserve">2026-09-09T13:30:00-05:00</t>
  </si>
  <si>
    <t xml:space="preserve">BUG-20260909-034</t>
  </si>
  <si>
    <t xml:space="preserve">CI actions target Node 20, which GitHub removes from runners on 2026-09-23 -- two weeks out</t>
  </si>
  <si>
    <t xml:space="preserve">Pinned to the major versions that were current when the workflow was written; the runtime they depend on has a published end date.</t>
  </si>
  <si>
    <t xml:space="preserve">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</si>
  <si>
    <t xml:space="preserve">actions/checkout@v5 and actions/setup-python@v6, both Node 24. Dated in the workflow comment so the next person knows why.</t>
  </si>
  <si>
    <t xml:space="preserve">Nothing in the project tracks external end-of-life dates. The research agent's charter covers the OpenSea API contract; it should cover the CI runtime too.</t>
  </si>
  <si>
    <t xml:space="preserve">.github/workflows/ci.yml:L12</t>
  </si>
  <si>
    <t xml:space="preserve">https://github.com/spencerwon/navanax1/blob/tester/.github/workflows/ci.yml#L12</t>
  </si>
  <si>
    <t xml:space="preserve">CI itself -- the deprecation annotation disappears</t>
  </si>
  <si>
    <t xml:space="preserve">GitHub Actions deprecation warning on PR #2, and GitHub's Actions runners notice (Node20 removal date updated 2026-08-25 to 2026-09-23)</t>
  </si>
  <si>
    <t xml:space="preserve">BUG-20260909-035</t>
  </si>
  <si>
    <t xml:space="preserve">10:20:00</t>
  </si>
  <si>
    <t xml:space="preserve">First live run failed CERTIFICATE_VERIFY_FAILED seven times -- python.org macOS Python ships no root certificates, and the consumer blamed the stream</t>
  </si>
  <si>
    <t xml:space="preserve">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</si>
  <si>
    <t xml:space="preserve">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</si>
  <si>
    <t xml:space="preserve">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</si>
  <si>
    <t xml:space="preserve">The live smoke test ran under one Python; the operator's launcher ran under another. No test, and no launcher, checked that the interpreter it found could verify a certificate before pointing it at the internet.</t>
  </si>
  <si>
    <t xml:space="preserve">src/navanax/tls.py:L1  ·  src/navanax/stream.py:L755  ·  tools/preflight.py:L52</t>
  </si>
  <si>
    <t xml:space="preserve">https://github.com/spencerwon/navanax1/blob/tester/src/navanax/tls.py#L1 https://github.com/spencerwon/navanax1/blob/tester/src/navanax/stream.py#L755 https://github.com/spencerwon/navanax1/blob/tester/tools/preflight.py#L52</t>
  </si>
  <si>
    <t xml:space="preserve">tests/selftest.py::test_cert_failure_names_the_fix_once</t>
  </si>
  <si>
    <t xml:space="preserve">Spencer, first double-click of start.command</t>
  </si>
  <si>
    <t xml:space="preserve">2026-09-09T10:16:49-05:00</t>
  </si>
  <si>
    <t xml:space="preserve">2026-09-09T10:20:00-05:00</t>
  </si>
  <si>
    <t xml:space="preserve">#3</t>
  </si>
  <si>
    <t xml:space="preserve">BUG-20260909-036</t>
  </si>
  <si>
    <t xml:space="preserve">10:35:00</t>
  </si>
  <si>
    <t xml:space="preserve">Storage sizing assumed 2,000 events/day for Argonauts; measured steady-state rate is ~48/second -- off by three orders of magnitude</t>
  </si>
  <si>
    <t xml:space="preserve">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</si>
  <si>
    <t xml:space="preserve">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</si>
  <si>
    <t xml:space="preserve">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</si>
  <si>
    <t xml:space="preserve">The table itself said "replace with measurements in the first week". No mechanism made that happen; the qa-auditor charter now covers numbers with provenance ASSUMED that are older than the first live data. A 24-hour per-collection rate measurement is the first Phase 1 task.</t>
  </si>
  <si>
    <t xml:space="preserve">docs/07_STORAGE_AND_RECORDING.md:L108</t>
  </si>
  <si>
    <t xml:space="preserve">https://github.com/spencerwon/navanax1/blob/tester/docs/07_STORAGE_AND_RECORDING.md#L108</t>
  </si>
  <si>
    <t xml:space="preserve">orchestrator, reading the first two minutes of live landing-zone data (7,240 events in 152 s)</t>
  </si>
  <si>
    <t xml:space="preserve">2026-09-09T10:35:00-05:00</t>
  </si>
  <si>
    <t xml:space="preserve">2026-09-09T11:00:00-05:00</t>
  </si>
  <si>
    <t xml:space="preserve">BUG-20260909-037</t>
  </si>
  <si>
    <t xml:space="preserve">Closing the Terminal window killed ingestion without a clean stop -- last frame lost, no checkpoint, file left open</t>
  </si>
  <si>
    <t xml:space="preserve">Ctrl-C (KeyboardInterrupt) was handled; SIGHUP from a closing Terminal window and SIGTERM from kill/launchd were not, so no finally ran.</t>
  </si>
  <si>
    <t xml:space="preserve">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</si>
  <si>
    <t xml:space="preserve">_install_shutdown_handlers registers SIGTERM and SIGHUP on the event loop to stop the consumer and cancel the run task, so the same finally that Ctrl-C reaches runs for a window close too.</t>
  </si>
  <si>
    <t xml:space="preserve">No test sent the process a signal. The only stop path exercised was Ctrl-C.</t>
  </si>
  <si>
    <t xml:space="preserve">src/navanax/cli.py:L118</t>
  </si>
  <si>
    <t xml:space="preserve">https://github.com/spencerwon/navanax1/blob/tester/src/navanax/cli.py#L118</t>
  </si>
  <si>
    <t xml:space="preserve">tests/selftest.py::test_window_close_is_a_clean_stop</t>
  </si>
  <si>
    <t xml:space="preserve">orchestrator, from the first run's manifest: file status open, gap register checkpoint 10 s before the next run</t>
  </si>
  <si>
    <t xml:space="preserve">2026-09-09T10:20:40-05:00</t>
  </si>
  <si>
    <t xml:space="preserve">BUG-20260909-038</t>
  </si>
  <si>
    <t xml:space="preserve">10:50:00</t>
  </si>
  <si>
    <t xml:space="preserve">The self-test ran from a hand-maintained list; three tests in one day were written, reviewed, and never executed -- including the codec gate's own self-test</t>
  </si>
  <si>
    <t xml:space="preserve">main() ran tests from an explicit tuple of names. Registering a test was a second step, done by string replacement against a line that other edits kept changing, so the replacement silently matched nothing. Three times.</t>
  </si>
  <si>
    <t xml:space="preserve">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</si>
  <si>
    <t xml:space="preserve">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</si>
  <si>
    <t xml:space="preserve">buglog.py --check verifies a named test exists; it cannot verify it ran. The closest honest check is the function count in the summary line, and CI could assert it never decreases. Left as a Phase 1 improvement.</t>
  </si>
  <si>
    <t xml:space="preserve">tests/selftest.py:L1660</t>
  </si>
  <si>
    <t xml:space="preserve">https://github.com/spencerwon/navanax1/blob/tester/tests/selftest.py#L1660</t>
  </si>
  <si>
    <t xml:space="preserve">tests/selftest.py itself -- the summary line reports 41 functions and every one of them runs</t>
  </si>
  <si>
    <t xml:space="preserve">orchestrator, noticing the pass count did not rise after adding a test -- for the third time</t>
  </si>
  <si>
    <t xml:space="preserve">2026-09-09T05:00:00-05:00</t>
  </si>
  <si>
    <t xml:space="preserve">2026-09-09T10:50:00-05:00</t>
  </si>
  <si>
    <t xml:space="preserve">BUG-20260909-039</t>
  </si>
  <si>
    <t xml:space="preserve">11:20:00</t>
  </si>
  <si>
    <t xml:space="preserve">NRM</t>
  </si>
  <si>
    <t xml:space="preserve">Normalisation</t>
  </si>
  <si>
    <t xml:space="preserve">OpenSea's payment_token.eth_price is the ORDER'S VALUE on bids/listings but the TOKEN'S RATE on sales; a parser trusting it records a 1.43 ETH sale as 1.00</t>
  </si>
  <si>
    <t xml:space="preserve">The field was trusted as a value. The stream is not internally consistent about what it means.</t>
  </si>
  <si>
    <t xml:space="preserve">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</si>
  <si>
    <t xml:space="preserve">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</si>
  <si>
    <t xml:space="preserve">The sale and listing fixtures were written from OpenSea's documentation before any had been observed -- the BUG-002 shape. Running the parser over all real frames before shipping is what caught it, and that check is now how new parsers are accepted.</t>
  </si>
  <si>
    <t xml:space="preserve">REQ-F-02</t>
  </si>
  <si>
    <t xml:space="preserve">src/navanax/normalize.py:L153</t>
  </si>
  <si>
    <t xml:space="preserve">https://github.com/spencerwon/navanax1/blob/tester/src/navanax/normalize.py#L153</t>
  </si>
  <si>
    <t xml:space="preserve">tests/selftest.py::test_normalizer_parses_real_frames</t>
  </si>
  <si>
    <t xml:space="preserve">orchestrator, validating the new parser against every real frame on the operator's machine before shipping (74,286 frames) -- the first real item_sold</t>
  </si>
  <si>
    <t xml:space="preserve">2026-09-09T11:05:00-05:00</t>
  </si>
  <si>
    <t xml:space="preserve">BUG-20260909-040</t>
  </si>
  <si>
    <t xml:space="preserve">11:30:00</t>
  </si>
  <si>
    <t xml:space="preserve">Order-lifecycle joins used the wrong index -- 2,000 bid lifetimes took 29 s on one hour of data; the dashboard hung</t>
  </si>
  <si>
    <t xml:space="preserve">SQLite's planner chose the (event_type, valid_ts) index for the join side of a self-join on order_hash and scanned every cancellation for every bid. A composite index existed only in the author's intent.</t>
  </si>
  <si>
    <t xml:space="preserve">None to data. The /api/lifetimes request blocked the store lock for 29+ s, which stalled every other panel -- the page would have appeared dead.</t>
  </si>
  <si>
    <t xml:space="preserve">Composite index ix_events_lifecycle(order_hash, event_type, valid_ts), pinned with INDEXED BY on both lifecycle queries; ANALYZE after each sync that adds rows. 38,286 lifetimes in 0.09 s.</t>
  </si>
  <si>
    <t xml:space="preserve">The unit test's store had six rows. Nothing about a query plan shows at six rows; it showed at 85,713.</t>
  </si>
  <si>
    <t xml:space="preserve">REQ-N-07</t>
  </si>
  <si>
    <t xml:space="preserve">src/navanax/normalize.py:L76  ·  src/navanax/metrics.py:L280</t>
  </si>
  <si>
    <t xml:space="preserve">https://github.com/spencerwon/navanax1/blob/tester/src/navanax/normalize.py#L76 https://github.com/spencerwon/navanax1/blob/tester/src/navanax/metrics.py#L280</t>
  </si>
  <si>
    <t xml:space="preserve">tests/selftest.py::test_metric_engine_contract</t>
  </si>
  <si>
    <t xml:space="preserve">orchestrator, end-to-end run of the dashboard against the real landing zone (gzip mirror) on the operator's machine</t>
  </si>
  <si>
    <t xml:space="preserve">2026-09-09T11:10:00-05:00</t>
  </si>
  <si>
    <t xml:space="preserve">2026-09-09T11:30:00-05:00</t>
  </si>
  <si>
    <t xml:space="preserve">2026-09-09T11:45:00-05:00</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</si>
  <si>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</si>
  <si>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</si>
  <si>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</si>
  <si>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</si>
  <si>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</si>
  <si>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</si>
  <si>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</si>
  <si>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</si>
  <si>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</si>
  <si>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</si>
  <si>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</si>
  <si>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</si>
  <si>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STA</t>
  </si>
  <si>
    <t xml:space="preserve">Statistics</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</si>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</sst>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41" headerRowCount="1" totalsRowCount="0" totalsRowShown="0">
  <autoFilter ref="A1:AA41"/>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hyperlink" Target="https://github.com/spencerwon/navanax1/blob/tester/.claude/agents/data-engineer.md" TargetMode="External"/><Relationship Id="rId56" Type="http://schemas.openxmlformats.org/officeDocument/2006/relationships/hyperlink" Target="https://github.com/spencerwon/navanax1/pull/1" TargetMode="External"/><Relationship Id="rId57" Type="http://schemas.openxmlformats.org/officeDocument/2006/relationships/hyperlink" Target="https://github.com/spencerwon/navanax1/blob/tester/config/base.yaml" TargetMode="External"/><Relationship Id="rId58" Type="http://schemas.openxmlformats.org/officeDocument/2006/relationships/hyperlink" Target="https://github.com/spencerwon/navanax1/pull/1" TargetMode="External"/><Relationship Id="rId59" Type="http://schemas.openxmlformats.org/officeDocument/2006/relationships/hyperlink" Target="https://github.com/spencerwon/navanax1/blob/tester/src/navanax/governor.py" TargetMode="External"/><Relationship Id="rId60" Type="http://schemas.openxmlformats.org/officeDocument/2006/relationships/hyperlink" Target="https://github.com/spencerwon/navanax1/pull/1" TargetMode="External"/><Relationship Id="rId61" Type="http://schemas.openxmlformats.org/officeDocument/2006/relationships/hyperlink" Target="https://github.com/spencerwon/navanax1/blob/tester/src/navanax/opstore.py" TargetMode="External"/><Relationship Id="rId62" Type="http://schemas.openxmlformats.org/officeDocument/2006/relationships/hyperlink" Target="https://github.com/spencerwon/navanax1/pull/1" TargetMode="External"/><Relationship Id="rId63" Type="http://schemas.openxmlformats.org/officeDocument/2006/relationships/hyperlink" Target="https://github.com/spencerwon/navanax1/blob/tester/src/navanax/codec.py" TargetMode="External"/><Relationship Id="rId64" Type="http://schemas.openxmlformats.org/officeDocument/2006/relationships/hyperlink" Target="https://github.com/spencerwon/navanax1/pull/2" TargetMode="External"/><Relationship Id="rId65" Type="http://schemas.openxmlformats.org/officeDocument/2006/relationships/hyperlink" Target="https://github.com/spencerwon/navanax1/blob/tester/.github/workflows/ci.yml" TargetMode="External"/><Relationship Id="rId66" Type="http://schemas.openxmlformats.org/officeDocument/2006/relationships/hyperlink" Target="https://github.com/spencerwon/navanax1/pull/2" TargetMode="External"/><Relationship Id="rId67" Type="http://schemas.openxmlformats.org/officeDocument/2006/relationships/hyperlink" Target="https://github.com/spencerwon/navanax1/blob/tester/.github/workflows/ci.yml" TargetMode="External"/><Relationship Id="rId68" Type="http://schemas.openxmlformats.org/officeDocument/2006/relationships/hyperlink" Target="https://github.com/spencerwon/navanax1/pull/2" TargetMode="External"/><Relationship Id="rId69" Type="http://schemas.openxmlformats.org/officeDocument/2006/relationships/hyperlink" Target="https://github.com/spencerwon/navanax1/blob/tester/src/navanax/tls.py" TargetMode="External"/><Relationship Id="rId70" Type="http://schemas.openxmlformats.org/officeDocument/2006/relationships/hyperlink" Target="https://github.com/spencerwon/navanax1/pull/3" TargetMode="External"/><Relationship Id="rId71" Type="http://schemas.openxmlformats.org/officeDocument/2006/relationships/hyperlink" Target="https://github.com/spencerwon/navanax1/blob/tester/docs/07_STORAGE_AND_RECORDING.md" TargetMode="External"/><Relationship Id="rId72" Type="http://schemas.openxmlformats.org/officeDocument/2006/relationships/hyperlink" Target="https://github.com/spencerwon/navanax1/pull/3" TargetMode="External"/><Relationship Id="rId73" Type="http://schemas.openxmlformats.org/officeDocument/2006/relationships/hyperlink" Target="https://github.com/spencerwon/navanax1/blob/tester/src/navanax/cli.py" TargetMode="External"/><Relationship Id="rId74" Type="http://schemas.openxmlformats.org/officeDocument/2006/relationships/hyperlink" Target="https://github.com/spencerwon/navanax1/pull/3" TargetMode="External"/><Relationship Id="rId75" Type="http://schemas.openxmlformats.org/officeDocument/2006/relationships/hyperlink" Target="https://github.com/spencerwon/navanax1/blob/tester/tests/selftest.py" TargetMode="External"/><Relationship Id="rId76" Type="http://schemas.openxmlformats.org/officeDocument/2006/relationships/hyperlink" Target="https://github.com/spencerwon/navanax1/pull/3" TargetMode="External"/><Relationship Id="rId77" Type="http://schemas.openxmlformats.org/officeDocument/2006/relationships/hyperlink" Target="https://github.com/spencerwon/navanax1/blob/tester/src/navanax/normalize.py" TargetMode="External"/><Relationship Id="rId78" Type="http://schemas.openxmlformats.org/officeDocument/2006/relationships/hyperlink" Target="https://github.com/spencerwon/navanax1/pull/3" TargetMode="External"/><Relationship Id="rId79" Type="http://schemas.openxmlformats.org/officeDocument/2006/relationships/hyperlink" Target="https://github.com/spencerwon/navanax1/blob/tester/src/navanax/normalize.py" TargetMode="External"/><Relationship Id="rId80" Type="http://schemas.openxmlformats.org/officeDocument/2006/relationships/hyperlink" Target="https://github.com/spencerwon/navanax1/pull/3" TargetMode="External"/><Relationship Id="rId8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5" t="s">
        <v>37</v>
      </c>
      <c r="L13" s="3" t="s">
        <v>195</v>
      </c>
      <c r="M13" s="3" t="s">
        <v>196</v>
      </c>
      <c r="N13" s="3" t="s">
        <v>197</v>
      </c>
      <c r="O13" s="3" t="s">
        <v>198</v>
      </c>
      <c r="P13" s="3" t="s">
        <v>199</v>
      </c>
      <c r="Q13" s="6" t="s">
        <v>81</v>
      </c>
      <c r="R13" s="3" t="s">
        <v>44</v>
      </c>
      <c r="S13" s="6" t="s">
        <v>200</v>
      </c>
      <c r="T13" s="7" t="s">
        <v>201</v>
      </c>
      <c r="U13" s="6" t="s">
        <v>202</v>
      </c>
      <c r="V13" s="3" t="s">
        <v>203</v>
      </c>
      <c r="W13" s="3" t="s">
        <v>121</v>
      </c>
      <c r="X13" s="3"/>
      <c r="Y13" s="3" t="s">
        <v>122</v>
      </c>
      <c r="Z13" s="3" t="s">
        <v>204</v>
      </c>
      <c r="AA13" s="7" t="s">
        <v>53</v>
      </c>
    </row>
    <row r="14" customFormat="false" ht="120" hidden="false" customHeight="true" outlineLevel="0" collapsed="false">
      <c r="A14" s="2" t="s">
        <v>205</v>
      </c>
      <c r="B14" s="3" t="s">
        <v>28</v>
      </c>
      <c r="C14" s="3" t="s">
        <v>111</v>
      </c>
      <c r="D14" s="4" t="s">
        <v>30</v>
      </c>
      <c r="E14" s="3" t="s">
        <v>31</v>
      </c>
      <c r="F14" s="3" t="s">
        <v>32</v>
      </c>
      <c r="G14" s="3" t="s">
        <v>94</v>
      </c>
      <c r="H14" s="3" t="s">
        <v>95</v>
      </c>
      <c r="I14" s="3" t="s">
        <v>59</v>
      </c>
      <c r="J14" s="3" t="s">
        <v>60</v>
      </c>
      <c r="K14" s="5" t="s">
        <v>37</v>
      </c>
      <c r="L14" s="3" t="s">
        <v>206</v>
      </c>
      <c r="M14" s="3" t="s">
        <v>207</v>
      </c>
      <c r="N14" s="3" t="s">
        <v>208</v>
      </c>
      <c r="O14" s="3" t="s">
        <v>209</v>
      </c>
      <c r="P14" s="3" t="s">
        <v>210</v>
      </c>
      <c r="Q14" s="6" t="s">
        <v>211</v>
      </c>
      <c r="R14" s="3" t="s">
        <v>44</v>
      </c>
      <c r="S14" s="6" t="s">
        <v>212</v>
      </c>
      <c r="T14" s="7" t="s">
        <v>213</v>
      </c>
      <c r="U14" s="6" t="s">
        <v>214</v>
      </c>
      <c r="V14" s="3" t="s">
        <v>215</v>
      </c>
      <c r="W14" s="3" t="s">
        <v>121</v>
      </c>
      <c r="X14" s="3"/>
      <c r="Y14" s="3" t="s">
        <v>122</v>
      </c>
      <c r="Z14" s="3" t="s">
        <v>204</v>
      </c>
      <c r="AA14" s="7" t="s">
        <v>53</v>
      </c>
    </row>
    <row r="15" customFormat="false" ht="120" hidden="false" customHeight="true" outlineLevel="0" collapsed="false">
      <c r="A15" s="2" t="s">
        <v>216</v>
      </c>
      <c r="B15" s="3" t="s">
        <v>28</v>
      </c>
      <c r="C15" s="3" t="s">
        <v>111</v>
      </c>
      <c r="D15" s="4" t="s">
        <v>30</v>
      </c>
      <c r="E15" s="3" t="s">
        <v>31</v>
      </c>
      <c r="F15" s="3" t="s">
        <v>32</v>
      </c>
      <c r="G15" s="3" t="s">
        <v>94</v>
      </c>
      <c r="H15" s="3" t="s">
        <v>95</v>
      </c>
      <c r="I15" s="3" t="s">
        <v>35</v>
      </c>
      <c r="J15" s="3" t="s">
        <v>36</v>
      </c>
      <c r="K15" s="5" t="s">
        <v>37</v>
      </c>
      <c r="L15" s="3" t="s">
        <v>217</v>
      </c>
      <c r="M15" s="3" t="s">
        <v>218</v>
      </c>
      <c r="N15" s="3" t="s">
        <v>219</v>
      </c>
      <c r="O15" s="3" t="s">
        <v>220</v>
      </c>
      <c r="P15" s="3" t="s">
        <v>221</v>
      </c>
      <c r="Q15" s="6" t="s">
        <v>81</v>
      </c>
      <c r="R15" s="3" t="s">
        <v>44</v>
      </c>
      <c r="S15" s="6" t="s">
        <v>222</v>
      </c>
      <c r="T15" s="7" t="s">
        <v>223</v>
      </c>
      <c r="U15" s="6" t="s">
        <v>224</v>
      </c>
      <c r="V15" s="3" t="s">
        <v>225</v>
      </c>
      <c r="W15" s="3" t="s">
        <v>121</v>
      </c>
      <c r="X15" s="3"/>
      <c r="Y15" s="3" t="s">
        <v>122</v>
      </c>
      <c r="Z15" s="3" t="s">
        <v>226</v>
      </c>
      <c r="AA15" s="7" t="s">
        <v>53</v>
      </c>
    </row>
    <row r="16" customFormat="false" ht="120" hidden="false" customHeight="true" outlineLevel="0" collapsed="false">
      <c r="A16" s="2" t="s">
        <v>227</v>
      </c>
      <c r="B16" s="3" t="s">
        <v>28</v>
      </c>
      <c r="C16" s="3" t="s">
        <v>111</v>
      </c>
      <c r="D16" s="8" t="s">
        <v>56</v>
      </c>
      <c r="E16" s="3" t="s">
        <v>57</v>
      </c>
      <c r="F16" s="3" t="s">
        <v>58</v>
      </c>
      <c r="G16" s="3" t="s">
        <v>228</v>
      </c>
      <c r="H16" s="3" t="s">
        <v>229</v>
      </c>
      <c r="I16" s="3" t="s">
        <v>35</v>
      </c>
      <c r="J16" s="3" t="s">
        <v>36</v>
      </c>
      <c r="K16" s="5" t="s">
        <v>37</v>
      </c>
      <c r="L16" s="3" t="s">
        <v>230</v>
      </c>
      <c r="M16" s="3" t="s">
        <v>231</v>
      </c>
      <c r="N16" s="3" t="s">
        <v>232</v>
      </c>
      <c r="O16" s="3" t="s">
        <v>233</v>
      </c>
      <c r="P16" s="3" t="s">
        <v>234</v>
      </c>
      <c r="Q16" s="6" t="s">
        <v>235</v>
      </c>
      <c r="R16" s="3" t="s">
        <v>44</v>
      </c>
      <c r="S16" s="6" t="s">
        <v>236</v>
      </c>
      <c r="T16" s="7" t="s">
        <v>237</v>
      </c>
      <c r="U16" s="6" t="s">
        <v>238</v>
      </c>
      <c r="V16" s="3" t="s">
        <v>225</v>
      </c>
      <c r="W16" s="3" t="s">
        <v>121</v>
      </c>
      <c r="X16" s="3"/>
      <c r="Y16" s="3" t="s">
        <v>122</v>
      </c>
      <c r="Z16" s="3" t="s">
        <v>226</v>
      </c>
      <c r="AA16" s="7" t="s">
        <v>53</v>
      </c>
    </row>
    <row r="17" customFormat="false" ht="120" hidden="false" customHeight="true" outlineLevel="0" collapsed="false">
      <c r="A17" s="2" t="s">
        <v>239</v>
      </c>
      <c r="B17" s="3" t="s">
        <v>28</v>
      </c>
      <c r="C17" s="3" t="s">
        <v>111</v>
      </c>
      <c r="D17" s="8" t="s">
        <v>56</v>
      </c>
      <c r="E17" s="3" t="s">
        <v>57</v>
      </c>
      <c r="F17" s="3" t="s">
        <v>58</v>
      </c>
      <c r="G17" s="3" t="s">
        <v>240</v>
      </c>
      <c r="H17" s="3" t="s">
        <v>93</v>
      </c>
      <c r="I17" s="3" t="s">
        <v>193</v>
      </c>
      <c r="J17" s="3" t="s">
        <v>194</v>
      </c>
      <c r="K17" s="5" t="s">
        <v>37</v>
      </c>
      <c r="L17" s="3" t="s">
        <v>241</v>
      </c>
      <c r="M17" s="3" t="s">
        <v>242</v>
      </c>
      <c r="N17" s="3" t="s">
        <v>243</v>
      </c>
      <c r="O17" s="3" t="s">
        <v>244</v>
      </c>
      <c r="P17" s="3" t="s">
        <v>245</v>
      </c>
      <c r="Q17" s="6" t="s">
        <v>81</v>
      </c>
      <c r="R17" s="3" t="s">
        <v>44</v>
      </c>
      <c r="S17" s="6" t="s">
        <v>246</v>
      </c>
      <c r="T17" s="7" t="s">
        <v>247</v>
      </c>
      <c r="U17" s="6" t="s">
        <v>248</v>
      </c>
      <c r="V17" s="3" t="s">
        <v>225</v>
      </c>
      <c r="W17" s="3" t="s">
        <v>121</v>
      </c>
      <c r="X17" s="3"/>
      <c r="Y17" s="3" t="s">
        <v>122</v>
      </c>
      <c r="Z17" s="3" t="s">
        <v>204</v>
      </c>
      <c r="AA17" s="7" t="s">
        <v>53</v>
      </c>
    </row>
    <row r="18" customFormat="false" ht="120" hidden="false" customHeight="true" outlineLevel="0" collapsed="false">
      <c r="A18" s="2" t="s">
        <v>249</v>
      </c>
      <c r="B18" s="3" t="s">
        <v>28</v>
      </c>
      <c r="C18" s="3" t="s">
        <v>111</v>
      </c>
      <c r="D18" s="4" t="s">
        <v>30</v>
      </c>
      <c r="E18" s="3" t="s">
        <v>31</v>
      </c>
      <c r="F18" s="3" t="s">
        <v>32</v>
      </c>
      <c r="G18" s="3" t="s">
        <v>94</v>
      </c>
      <c r="H18" s="3" t="s">
        <v>95</v>
      </c>
      <c r="I18" s="3" t="s">
        <v>250</v>
      </c>
      <c r="J18" s="3" t="s">
        <v>251</v>
      </c>
      <c r="K18" s="5" t="s">
        <v>37</v>
      </c>
      <c r="L18" s="3" t="s">
        <v>252</v>
      </c>
      <c r="M18" s="3" t="s">
        <v>253</v>
      </c>
      <c r="N18" s="3" t="s">
        <v>254</v>
      </c>
      <c r="O18" s="3" t="s">
        <v>255</v>
      </c>
      <c r="P18" s="3" t="s">
        <v>256</v>
      </c>
      <c r="Q18" s="6" t="s">
        <v>257</v>
      </c>
      <c r="R18" s="3" t="s">
        <v>44</v>
      </c>
      <c r="S18" s="6" t="s">
        <v>258</v>
      </c>
      <c r="T18" s="7" t="s">
        <v>259</v>
      </c>
      <c r="U18" s="6" t="s">
        <v>260</v>
      </c>
      <c r="V18" s="3" t="s">
        <v>261</v>
      </c>
      <c r="W18" s="3" t="s">
        <v>121</v>
      </c>
      <c r="X18" s="3"/>
      <c r="Y18" s="3" t="s">
        <v>122</v>
      </c>
      <c r="Z18" s="3" t="s">
        <v>204</v>
      </c>
      <c r="AA18" s="7" t="s">
        <v>53</v>
      </c>
    </row>
    <row r="19" customFormat="false" ht="120" hidden="false" customHeight="true" outlineLevel="0" collapsed="false">
      <c r="A19" s="2" t="s">
        <v>262</v>
      </c>
      <c r="B19" s="3" t="s">
        <v>28</v>
      </c>
      <c r="C19" s="3" t="s">
        <v>111</v>
      </c>
      <c r="D19" s="10" t="s">
        <v>136</v>
      </c>
      <c r="E19" s="3" t="s">
        <v>137</v>
      </c>
      <c r="F19" s="3" t="s">
        <v>138</v>
      </c>
      <c r="G19" s="3" t="s">
        <v>228</v>
      </c>
      <c r="H19" s="3" t="s">
        <v>229</v>
      </c>
      <c r="I19" s="3" t="s">
        <v>263</v>
      </c>
      <c r="J19" s="3" t="s">
        <v>264</v>
      </c>
      <c r="K19" s="5" t="s">
        <v>37</v>
      </c>
      <c r="L19" s="3" t="s">
        <v>265</v>
      </c>
      <c r="M19" s="3" t="s">
        <v>266</v>
      </c>
      <c r="N19" s="3" t="s">
        <v>267</v>
      </c>
      <c r="O19" s="3" t="s">
        <v>268</v>
      </c>
      <c r="P19" s="3" t="s">
        <v>269</v>
      </c>
      <c r="Q19" s="6" t="s">
        <v>154</v>
      </c>
      <c r="R19" s="3" t="s">
        <v>44</v>
      </c>
      <c r="S19" s="6" t="s">
        <v>270</v>
      </c>
      <c r="T19" s="7" t="s">
        <v>271</v>
      </c>
      <c r="U19" s="6" t="s">
        <v>272</v>
      </c>
      <c r="V19" s="3" t="s">
        <v>225</v>
      </c>
      <c r="W19" s="3" t="s">
        <v>121</v>
      </c>
      <c r="X19" s="3"/>
      <c r="Y19" s="3" t="s">
        <v>122</v>
      </c>
      <c r="Z19" s="3" t="s">
        <v>204</v>
      </c>
      <c r="AA19" s="7" t="s">
        <v>53</v>
      </c>
    </row>
    <row r="20" customFormat="false" ht="120" hidden="false" customHeight="true" outlineLevel="0" collapsed="false">
      <c r="A20" s="2" t="s">
        <v>273</v>
      </c>
      <c r="B20" s="3" t="s">
        <v>28</v>
      </c>
      <c r="C20" s="3" t="s">
        <v>274</v>
      </c>
      <c r="D20" s="8" t="s">
        <v>56</v>
      </c>
      <c r="E20" s="3" t="s">
        <v>57</v>
      </c>
      <c r="F20" s="3" t="s">
        <v>58</v>
      </c>
      <c r="G20" s="3" t="s">
        <v>33</v>
      </c>
      <c r="H20" s="3" t="s">
        <v>34</v>
      </c>
      <c r="I20" s="3" t="s">
        <v>263</v>
      </c>
      <c r="J20" s="3" t="s">
        <v>264</v>
      </c>
      <c r="K20" s="5" t="s">
        <v>37</v>
      </c>
      <c r="L20" s="3" t="s">
        <v>275</v>
      </c>
      <c r="M20" s="3" t="s">
        <v>276</v>
      </c>
      <c r="N20" s="3" t="s">
        <v>277</v>
      </c>
      <c r="O20" s="3" t="s">
        <v>278</v>
      </c>
      <c r="P20" s="3" t="s">
        <v>279</v>
      </c>
      <c r="Q20" s="6" t="s">
        <v>101</v>
      </c>
      <c r="R20" s="3" t="s">
        <v>44</v>
      </c>
      <c r="S20" s="6" t="s">
        <v>280</v>
      </c>
      <c r="T20" s="7" t="s">
        <v>281</v>
      </c>
      <c r="U20" s="6" t="s">
        <v>282</v>
      </c>
      <c r="V20" s="3" t="s">
        <v>283</v>
      </c>
      <c r="W20" s="3" t="s">
        <v>121</v>
      </c>
      <c r="X20" s="3" t="s">
        <v>107</v>
      </c>
      <c r="Y20" s="3" t="s">
        <v>284</v>
      </c>
      <c r="Z20" s="3" t="s">
        <v>285</v>
      </c>
      <c r="AA20" s="7" t="s">
        <v>53</v>
      </c>
    </row>
    <row r="21" customFormat="false" ht="120" hidden="false" customHeight="true" outlineLevel="0" collapsed="false">
      <c r="A21" s="2" t="s">
        <v>286</v>
      </c>
      <c r="B21" s="3" t="s">
        <v>28</v>
      </c>
      <c r="C21" s="3" t="s">
        <v>287</v>
      </c>
      <c r="D21" s="4" t="s">
        <v>30</v>
      </c>
      <c r="E21" s="3" t="s">
        <v>31</v>
      </c>
      <c r="F21" s="3" t="s">
        <v>32</v>
      </c>
      <c r="G21" s="3" t="s">
        <v>33</v>
      </c>
      <c r="H21" s="3" t="s">
        <v>34</v>
      </c>
      <c r="I21" s="3" t="s">
        <v>59</v>
      </c>
      <c r="J21" s="3" t="s">
        <v>60</v>
      </c>
      <c r="K21" s="5" t="s">
        <v>37</v>
      </c>
      <c r="L21" s="3" t="s">
        <v>288</v>
      </c>
      <c r="M21" s="3" t="s">
        <v>289</v>
      </c>
      <c r="N21" s="3" t="s">
        <v>290</v>
      </c>
      <c r="O21" s="3" t="s">
        <v>291</v>
      </c>
      <c r="P21" s="3" t="s">
        <v>292</v>
      </c>
      <c r="Q21" s="6" t="s">
        <v>144</v>
      </c>
      <c r="R21" s="3" t="s">
        <v>44</v>
      </c>
      <c r="S21" s="6" t="s">
        <v>293</v>
      </c>
      <c r="T21" s="7" t="s">
        <v>294</v>
      </c>
      <c r="U21" s="6" t="s">
        <v>295</v>
      </c>
      <c r="V21" s="3" t="s">
        <v>283</v>
      </c>
      <c r="W21" s="3" t="s">
        <v>121</v>
      </c>
      <c r="X21" s="3" t="s">
        <v>123</v>
      </c>
      <c r="Y21" s="3" t="s">
        <v>296</v>
      </c>
      <c r="Z21" s="3" t="s">
        <v>297</v>
      </c>
      <c r="AA21" s="7" t="s">
        <v>53</v>
      </c>
    </row>
    <row r="22" customFormat="false" ht="120" hidden="false" customHeight="true" outlineLevel="0" collapsed="false">
      <c r="A22" s="2" t="s">
        <v>298</v>
      </c>
      <c r="B22" s="3" t="s">
        <v>28</v>
      </c>
      <c r="C22" s="3" t="s">
        <v>287</v>
      </c>
      <c r="D22" s="4" t="s">
        <v>30</v>
      </c>
      <c r="E22" s="3" t="s">
        <v>31</v>
      </c>
      <c r="F22" s="3" t="s">
        <v>32</v>
      </c>
      <c r="G22" s="3" t="s">
        <v>33</v>
      </c>
      <c r="H22" s="3" t="s">
        <v>34</v>
      </c>
      <c r="I22" s="3" t="s">
        <v>59</v>
      </c>
      <c r="J22" s="3" t="s">
        <v>60</v>
      </c>
      <c r="K22" s="5" t="s">
        <v>37</v>
      </c>
      <c r="L22" s="3" t="s">
        <v>299</v>
      </c>
      <c r="M22" s="3" t="s">
        <v>300</v>
      </c>
      <c r="N22" s="3" t="s">
        <v>301</v>
      </c>
      <c r="O22" s="3" t="s">
        <v>302</v>
      </c>
      <c r="P22" s="3" t="s">
        <v>303</v>
      </c>
      <c r="Q22" s="6" t="s">
        <v>144</v>
      </c>
      <c r="R22" s="3" t="s">
        <v>44</v>
      </c>
      <c r="S22" s="6" t="s">
        <v>304</v>
      </c>
      <c r="T22" s="7" t="s">
        <v>305</v>
      </c>
      <c r="U22" s="6" t="s">
        <v>306</v>
      </c>
      <c r="V22" s="3" t="s">
        <v>283</v>
      </c>
      <c r="W22" s="3" t="s">
        <v>121</v>
      </c>
      <c r="X22" s="3" t="s">
        <v>123</v>
      </c>
      <c r="Y22" s="3" t="s">
        <v>296</v>
      </c>
      <c r="Z22" s="3" t="s">
        <v>297</v>
      </c>
      <c r="AA22" s="7" t="s">
        <v>53</v>
      </c>
    </row>
    <row r="23" customFormat="false" ht="120" hidden="false" customHeight="true" outlineLevel="0" collapsed="false">
      <c r="A23" s="2" t="s">
        <v>307</v>
      </c>
      <c r="B23" s="3" t="s">
        <v>28</v>
      </c>
      <c r="C23" s="3" t="s">
        <v>287</v>
      </c>
      <c r="D23" s="4" t="s">
        <v>30</v>
      </c>
      <c r="E23" s="3" t="s">
        <v>31</v>
      </c>
      <c r="F23" s="3" t="s">
        <v>32</v>
      </c>
      <c r="G23" s="3" t="s">
        <v>33</v>
      </c>
      <c r="H23" s="3" t="s">
        <v>34</v>
      </c>
      <c r="I23" s="3" t="s">
        <v>59</v>
      </c>
      <c r="J23" s="3" t="s">
        <v>60</v>
      </c>
      <c r="K23" s="5" t="s">
        <v>37</v>
      </c>
      <c r="L23" s="3" t="s">
        <v>308</v>
      </c>
      <c r="M23" s="3" t="s">
        <v>309</v>
      </c>
      <c r="N23" s="3" t="s">
        <v>310</v>
      </c>
      <c r="O23" s="3" t="s">
        <v>311</v>
      </c>
      <c r="P23" s="3" t="s">
        <v>312</v>
      </c>
      <c r="Q23" s="6" t="s">
        <v>144</v>
      </c>
      <c r="R23" s="3" t="s">
        <v>44</v>
      </c>
      <c r="S23" s="6" t="s">
        <v>313</v>
      </c>
      <c r="T23" s="7" t="s">
        <v>314</v>
      </c>
      <c r="U23" s="6" t="s">
        <v>315</v>
      </c>
      <c r="V23" s="3" t="s">
        <v>316</v>
      </c>
      <c r="W23" s="3" t="s">
        <v>121</v>
      </c>
      <c r="X23" s="3" t="s">
        <v>134</v>
      </c>
      <c r="Y23" s="3" t="s">
        <v>296</v>
      </c>
      <c r="Z23" s="3" t="s">
        <v>297</v>
      </c>
      <c r="AA23" s="7" t="s">
        <v>53</v>
      </c>
    </row>
    <row r="24" customFormat="false" ht="120" hidden="false" customHeight="true" outlineLevel="0" collapsed="false">
      <c r="A24" s="2" t="s">
        <v>317</v>
      </c>
      <c r="B24" s="3" t="s">
        <v>28</v>
      </c>
      <c r="C24" s="3" t="s">
        <v>318</v>
      </c>
      <c r="D24" s="4" t="s">
        <v>30</v>
      </c>
      <c r="E24" s="3" t="s">
        <v>31</v>
      </c>
      <c r="F24" s="3" t="s">
        <v>32</v>
      </c>
      <c r="G24" s="3" t="s">
        <v>33</v>
      </c>
      <c r="H24" s="3" t="s">
        <v>34</v>
      </c>
      <c r="I24" s="3" t="s">
        <v>59</v>
      </c>
      <c r="J24" s="3" t="s">
        <v>60</v>
      </c>
      <c r="K24" s="5" t="s">
        <v>37</v>
      </c>
      <c r="L24" s="3" t="s">
        <v>319</v>
      </c>
      <c r="M24" s="3" t="s">
        <v>320</v>
      </c>
      <c r="N24" s="3" t="s">
        <v>321</v>
      </c>
      <c r="O24" s="3" t="s">
        <v>322</v>
      </c>
      <c r="P24" s="3" t="s">
        <v>323</v>
      </c>
      <c r="Q24" s="6" t="s">
        <v>154</v>
      </c>
      <c r="R24" s="3" t="s">
        <v>44</v>
      </c>
      <c r="S24" s="6" t="s">
        <v>324</v>
      </c>
      <c r="T24" s="7" t="s">
        <v>325</v>
      </c>
      <c r="U24" s="6" t="s">
        <v>326</v>
      </c>
      <c r="V24" s="3" t="s">
        <v>327</v>
      </c>
      <c r="W24" s="3" t="s">
        <v>328</v>
      </c>
      <c r="X24" s="3" t="s">
        <v>297</v>
      </c>
      <c r="Y24" s="3" t="s">
        <v>329</v>
      </c>
      <c r="Z24" s="3" t="s">
        <v>330</v>
      </c>
      <c r="AA24" s="7" t="s">
        <v>53</v>
      </c>
    </row>
    <row r="25" customFormat="false" ht="120" hidden="false" customHeight="true" outlineLevel="0" collapsed="false">
      <c r="A25" s="2" t="s">
        <v>331</v>
      </c>
      <c r="B25" s="3" t="s">
        <v>28</v>
      </c>
      <c r="C25" s="3" t="s">
        <v>287</v>
      </c>
      <c r="D25" s="4" t="s">
        <v>30</v>
      </c>
      <c r="E25" s="3" t="s">
        <v>31</v>
      </c>
      <c r="F25" s="3" t="s">
        <v>32</v>
      </c>
      <c r="G25" s="3" t="s">
        <v>33</v>
      </c>
      <c r="H25" s="3" t="s">
        <v>34</v>
      </c>
      <c r="I25" s="3" t="s">
        <v>59</v>
      </c>
      <c r="J25" s="3" t="s">
        <v>60</v>
      </c>
      <c r="K25" s="5" t="s">
        <v>37</v>
      </c>
      <c r="L25" s="3" t="s">
        <v>332</v>
      </c>
      <c r="M25" s="3" t="s">
        <v>333</v>
      </c>
      <c r="N25" s="3" t="s">
        <v>334</v>
      </c>
      <c r="O25" s="3" t="s">
        <v>335</v>
      </c>
      <c r="P25" s="3" t="s">
        <v>336</v>
      </c>
      <c r="Q25" s="6" t="s">
        <v>130</v>
      </c>
      <c r="R25" s="3" t="s">
        <v>44</v>
      </c>
      <c r="S25" s="6" t="s">
        <v>337</v>
      </c>
      <c r="T25" s="7" t="s">
        <v>338</v>
      </c>
      <c r="U25" s="6" t="s">
        <v>176</v>
      </c>
      <c r="V25" s="3" t="s">
        <v>283</v>
      </c>
      <c r="W25" s="3" t="s">
        <v>121</v>
      </c>
      <c r="X25" s="3" t="s">
        <v>123</v>
      </c>
      <c r="Y25" s="3" t="s">
        <v>296</v>
      </c>
      <c r="Z25" s="3" t="s">
        <v>297</v>
      </c>
      <c r="AA25" s="7" t="s">
        <v>53</v>
      </c>
    </row>
    <row r="26" customFormat="false" ht="120" hidden="false" customHeight="true" outlineLevel="0" collapsed="false">
      <c r="A26" s="2" t="s">
        <v>339</v>
      </c>
      <c r="B26" s="3" t="s">
        <v>28</v>
      </c>
      <c r="C26" s="3" t="s">
        <v>287</v>
      </c>
      <c r="D26" s="10" t="s">
        <v>136</v>
      </c>
      <c r="E26" s="3" t="s">
        <v>137</v>
      </c>
      <c r="F26" s="3" t="s">
        <v>138</v>
      </c>
      <c r="G26" s="3" t="s">
        <v>94</v>
      </c>
      <c r="H26" s="3" t="s">
        <v>95</v>
      </c>
      <c r="I26" s="3" t="s">
        <v>59</v>
      </c>
      <c r="J26" s="3" t="s">
        <v>60</v>
      </c>
      <c r="K26" s="5" t="s">
        <v>37</v>
      </c>
      <c r="L26" s="3" t="s">
        <v>340</v>
      </c>
      <c r="M26" s="3" t="s">
        <v>341</v>
      </c>
      <c r="N26" s="3" t="s">
        <v>342</v>
      </c>
      <c r="O26" s="3" t="s">
        <v>343</v>
      </c>
      <c r="P26" s="3" t="s">
        <v>344</v>
      </c>
      <c r="Q26" s="6" t="s">
        <v>154</v>
      </c>
      <c r="R26" s="3" t="s">
        <v>44</v>
      </c>
      <c r="S26" s="6" t="s">
        <v>345</v>
      </c>
      <c r="T26" s="7" t="s">
        <v>346</v>
      </c>
      <c r="U26" s="6" t="s">
        <v>347</v>
      </c>
      <c r="V26" s="3" t="s">
        <v>283</v>
      </c>
      <c r="W26" s="3" t="s">
        <v>121</v>
      </c>
      <c r="X26" s="3" t="s">
        <v>123</v>
      </c>
      <c r="Y26" s="3" t="s">
        <v>296</v>
      </c>
      <c r="Z26" s="3" t="s">
        <v>297</v>
      </c>
      <c r="AA26" s="7" t="s">
        <v>53</v>
      </c>
    </row>
    <row r="27" customFormat="false" ht="120" hidden="false" customHeight="true" outlineLevel="0" collapsed="false">
      <c r="A27" s="2" t="s">
        <v>348</v>
      </c>
      <c r="B27" s="3" t="s">
        <v>28</v>
      </c>
      <c r="C27" s="3" t="s">
        <v>287</v>
      </c>
      <c r="D27" s="8" t="s">
        <v>56</v>
      </c>
      <c r="E27" s="3" t="s">
        <v>57</v>
      </c>
      <c r="F27" s="3" t="s">
        <v>58</v>
      </c>
      <c r="G27" s="3" t="s">
        <v>94</v>
      </c>
      <c r="H27" s="3" t="s">
        <v>95</v>
      </c>
      <c r="I27" s="3" t="s">
        <v>59</v>
      </c>
      <c r="J27" s="3" t="s">
        <v>60</v>
      </c>
      <c r="K27" s="5" t="s">
        <v>37</v>
      </c>
      <c r="L27" s="3" t="s">
        <v>349</v>
      </c>
      <c r="M27" s="3" t="s">
        <v>350</v>
      </c>
      <c r="N27" s="3" t="s">
        <v>351</v>
      </c>
      <c r="O27" s="3" t="s">
        <v>352</v>
      </c>
      <c r="P27" s="3" t="s">
        <v>353</v>
      </c>
      <c r="Q27" s="6" t="s">
        <v>43</v>
      </c>
      <c r="R27" s="3" t="s">
        <v>44</v>
      </c>
      <c r="S27" s="6" t="s">
        <v>354</v>
      </c>
      <c r="T27" s="7" t="s">
        <v>355</v>
      </c>
      <c r="U27" s="6" t="s">
        <v>356</v>
      </c>
      <c r="V27" s="3" t="s">
        <v>283</v>
      </c>
      <c r="W27" s="3" t="s">
        <v>121</v>
      </c>
      <c r="X27" s="3" t="s">
        <v>134</v>
      </c>
      <c r="Y27" s="3" t="s">
        <v>296</v>
      </c>
      <c r="Z27" s="3" t="s">
        <v>297</v>
      </c>
      <c r="AA27" s="7" t="s">
        <v>53</v>
      </c>
    </row>
    <row r="28" customFormat="false" ht="120" hidden="false" customHeight="true" outlineLevel="0" collapsed="false">
      <c r="A28" s="2" t="s">
        <v>357</v>
      </c>
      <c r="B28" s="3" t="s">
        <v>28</v>
      </c>
      <c r="C28" s="3" t="s">
        <v>318</v>
      </c>
      <c r="D28" s="10" t="s">
        <v>136</v>
      </c>
      <c r="E28" s="3" t="s">
        <v>137</v>
      </c>
      <c r="F28" s="3" t="s">
        <v>138</v>
      </c>
      <c r="G28" s="3" t="s">
        <v>94</v>
      </c>
      <c r="H28" s="3" t="s">
        <v>95</v>
      </c>
      <c r="I28" s="3" t="s">
        <v>263</v>
      </c>
      <c r="J28" s="3" t="s">
        <v>264</v>
      </c>
      <c r="K28" s="5" t="s">
        <v>37</v>
      </c>
      <c r="L28" s="3" t="s">
        <v>358</v>
      </c>
      <c r="M28" s="3" t="s">
        <v>359</v>
      </c>
      <c r="N28" s="3" t="s">
        <v>360</v>
      </c>
      <c r="O28" s="3" t="s">
        <v>361</v>
      </c>
      <c r="P28" s="3" t="s">
        <v>362</v>
      </c>
      <c r="Q28" s="6" t="s">
        <v>154</v>
      </c>
      <c r="R28" s="3" t="s">
        <v>44</v>
      </c>
      <c r="S28" s="6" t="s">
        <v>363</v>
      </c>
      <c r="T28" s="7" t="s">
        <v>364</v>
      </c>
      <c r="U28" s="6" t="s">
        <v>365</v>
      </c>
      <c r="V28" s="3" t="s">
        <v>366</v>
      </c>
      <c r="W28" s="3" t="s">
        <v>328</v>
      </c>
      <c r="X28" s="3" t="s">
        <v>297</v>
      </c>
      <c r="Y28" s="3" t="s">
        <v>329</v>
      </c>
      <c r="Z28" s="3" t="s">
        <v>330</v>
      </c>
      <c r="AA28" s="7" t="s">
        <v>53</v>
      </c>
    </row>
    <row r="29" customFormat="false" ht="120" hidden="false" customHeight="true" outlineLevel="0" collapsed="false">
      <c r="A29" s="2" t="s">
        <v>367</v>
      </c>
      <c r="B29" s="3" t="s">
        <v>28</v>
      </c>
      <c r="C29" s="3" t="s">
        <v>368</v>
      </c>
      <c r="D29" s="4" t="s">
        <v>30</v>
      </c>
      <c r="E29" s="3" t="s">
        <v>31</v>
      </c>
      <c r="F29" s="3" t="s">
        <v>32</v>
      </c>
      <c r="G29" s="3" t="s">
        <v>94</v>
      </c>
      <c r="H29" s="3" t="s">
        <v>95</v>
      </c>
      <c r="I29" s="3" t="s">
        <v>35</v>
      </c>
      <c r="J29" s="3" t="s">
        <v>36</v>
      </c>
      <c r="K29" s="5" t="s">
        <v>37</v>
      </c>
      <c r="L29" s="3" t="s">
        <v>369</v>
      </c>
      <c r="M29" s="3" t="s">
        <v>370</v>
      </c>
      <c r="N29" s="3" t="s">
        <v>371</v>
      </c>
      <c r="O29" s="3" t="s">
        <v>372</v>
      </c>
      <c r="P29" s="3" t="s">
        <v>373</v>
      </c>
      <c r="Q29" s="6" t="s">
        <v>81</v>
      </c>
      <c r="R29" s="3" t="s">
        <v>374</v>
      </c>
      <c r="S29" s="6" t="s">
        <v>375</v>
      </c>
      <c r="T29" s="7" t="s">
        <v>376</v>
      </c>
      <c r="U29" s="6" t="s">
        <v>224</v>
      </c>
      <c r="V29" s="3" t="s">
        <v>377</v>
      </c>
      <c r="W29" s="3" t="s">
        <v>378</v>
      </c>
      <c r="X29" s="3" t="s">
        <v>86</v>
      </c>
      <c r="Y29" s="3" t="s">
        <v>379</v>
      </c>
      <c r="Z29" s="3" t="s">
        <v>380</v>
      </c>
      <c r="AA29" s="7" t="s">
        <v>53</v>
      </c>
    </row>
    <row r="30" customFormat="false" ht="120" hidden="false" customHeight="true" outlineLevel="0" collapsed="false">
      <c r="A30" s="2" t="s">
        <v>381</v>
      </c>
      <c r="B30" s="3" t="s">
        <v>28</v>
      </c>
      <c r="C30" s="3" t="s">
        <v>382</v>
      </c>
      <c r="D30" s="10" t="s">
        <v>136</v>
      </c>
      <c r="E30" s="3" t="s">
        <v>137</v>
      </c>
      <c r="F30" s="3" t="s">
        <v>138</v>
      </c>
      <c r="G30" s="3" t="s">
        <v>33</v>
      </c>
      <c r="H30" s="3" t="s">
        <v>34</v>
      </c>
      <c r="I30" s="3" t="s">
        <v>193</v>
      </c>
      <c r="J30" s="3" t="s">
        <v>194</v>
      </c>
      <c r="K30" s="5" t="s">
        <v>37</v>
      </c>
      <c r="L30" s="3" t="s">
        <v>383</v>
      </c>
      <c r="M30" s="3" t="s">
        <v>384</v>
      </c>
      <c r="N30" s="3" t="s">
        <v>385</v>
      </c>
      <c r="O30" s="3" t="s">
        <v>386</v>
      </c>
      <c r="P30" s="3" t="s">
        <v>387</v>
      </c>
      <c r="Q30" s="6" t="s">
        <v>81</v>
      </c>
      <c r="R30" s="3" t="s">
        <v>374</v>
      </c>
      <c r="S30" s="6" t="s">
        <v>388</v>
      </c>
      <c r="T30" s="7" t="s">
        <v>389</v>
      </c>
      <c r="U30" s="6" t="s">
        <v>390</v>
      </c>
      <c r="V30" s="3" t="s">
        <v>391</v>
      </c>
      <c r="W30" s="3" t="s">
        <v>328</v>
      </c>
      <c r="X30" s="3" t="s">
        <v>88</v>
      </c>
      <c r="Y30" s="3" t="s">
        <v>392</v>
      </c>
      <c r="Z30" s="3" t="s">
        <v>393</v>
      </c>
      <c r="AA30" s="7" t="s">
        <v>53</v>
      </c>
    </row>
    <row r="31" customFormat="false" ht="120" hidden="false" customHeight="true" outlineLevel="0" collapsed="false">
      <c r="A31" s="2" t="s">
        <v>394</v>
      </c>
      <c r="B31" s="3" t="s">
        <v>28</v>
      </c>
      <c r="C31" s="3" t="s">
        <v>382</v>
      </c>
      <c r="D31" s="10" t="s">
        <v>136</v>
      </c>
      <c r="E31" s="3" t="s">
        <v>137</v>
      </c>
      <c r="F31" s="3" t="s">
        <v>138</v>
      </c>
      <c r="G31" s="3" t="s">
        <v>33</v>
      </c>
      <c r="H31" s="3" t="s">
        <v>34</v>
      </c>
      <c r="I31" s="3" t="s">
        <v>193</v>
      </c>
      <c r="J31" s="3" t="s">
        <v>194</v>
      </c>
      <c r="K31" s="5" t="s">
        <v>37</v>
      </c>
      <c r="L31" s="3" t="s">
        <v>395</v>
      </c>
      <c r="M31" s="3" t="s">
        <v>396</v>
      </c>
      <c r="N31" s="3" t="s">
        <v>397</v>
      </c>
      <c r="O31" s="3" t="s">
        <v>398</v>
      </c>
      <c r="P31" s="3" t="s">
        <v>399</v>
      </c>
      <c r="Q31" s="6" t="s">
        <v>81</v>
      </c>
      <c r="R31" s="3" t="s">
        <v>374</v>
      </c>
      <c r="S31" s="6" t="s">
        <v>400</v>
      </c>
      <c r="T31" s="7" t="s">
        <v>401</v>
      </c>
      <c r="U31" s="6" t="s">
        <v>402</v>
      </c>
      <c r="V31" s="3" t="s">
        <v>403</v>
      </c>
      <c r="W31" s="3" t="s">
        <v>328</v>
      </c>
      <c r="X31" s="3" t="s">
        <v>204</v>
      </c>
      <c r="Y31" s="3" t="s">
        <v>392</v>
      </c>
      <c r="Z31" s="3" t="s">
        <v>393</v>
      </c>
      <c r="AA31" s="7" t="s">
        <v>53</v>
      </c>
    </row>
    <row r="32" customFormat="false" ht="120" hidden="false" customHeight="true" outlineLevel="0" collapsed="false">
      <c r="A32" s="2" t="s">
        <v>404</v>
      </c>
      <c r="B32" s="3" t="s">
        <v>28</v>
      </c>
      <c r="C32" s="3" t="s">
        <v>382</v>
      </c>
      <c r="D32" s="10" t="s">
        <v>136</v>
      </c>
      <c r="E32" s="3" t="s">
        <v>137</v>
      </c>
      <c r="F32" s="3" t="s">
        <v>138</v>
      </c>
      <c r="G32" s="3" t="s">
        <v>33</v>
      </c>
      <c r="H32" s="3" t="s">
        <v>34</v>
      </c>
      <c r="I32" s="3" t="s">
        <v>59</v>
      </c>
      <c r="J32" s="3" t="s">
        <v>60</v>
      </c>
      <c r="K32" s="5" t="s">
        <v>37</v>
      </c>
      <c r="L32" s="3" t="s">
        <v>405</v>
      </c>
      <c r="M32" s="3" t="s">
        <v>406</v>
      </c>
      <c r="N32" s="3" t="s">
        <v>407</v>
      </c>
      <c r="O32" s="3" t="s">
        <v>408</v>
      </c>
      <c r="P32" s="3" t="s">
        <v>409</v>
      </c>
      <c r="Q32" s="6" t="s">
        <v>211</v>
      </c>
      <c r="R32" s="3" t="s">
        <v>374</v>
      </c>
      <c r="S32" s="6" t="s">
        <v>410</v>
      </c>
      <c r="T32" s="7" t="s">
        <v>411</v>
      </c>
      <c r="U32" s="6" t="s">
        <v>412</v>
      </c>
      <c r="V32" s="3" t="s">
        <v>391</v>
      </c>
      <c r="W32" s="3" t="s">
        <v>328</v>
      </c>
      <c r="X32" s="3" t="s">
        <v>204</v>
      </c>
      <c r="Y32" s="3" t="s">
        <v>392</v>
      </c>
      <c r="Z32" s="3" t="s">
        <v>393</v>
      </c>
      <c r="AA32" s="7" t="s">
        <v>53</v>
      </c>
    </row>
    <row r="33" customFormat="false" ht="120" hidden="false" customHeight="true" outlineLevel="0" collapsed="false">
      <c r="A33" s="2" t="s">
        <v>413</v>
      </c>
      <c r="B33" s="3" t="s">
        <v>28</v>
      </c>
      <c r="C33" s="3" t="s">
        <v>414</v>
      </c>
      <c r="D33" s="4" t="s">
        <v>30</v>
      </c>
      <c r="E33" s="3" t="s">
        <v>31</v>
      </c>
      <c r="F33" s="3" t="s">
        <v>32</v>
      </c>
      <c r="G33" s="3" t="s">
        <v>33</v>
      </c>
      <c r="H33" s="3" t="s">
        <v>34</v>
      </c>
      <c r="I33" s="3" t="s">
        <v>59</v>
      </c>
      <c r="J33" s="3" t="s">
        <v>60</v>
      </c>
      <c r="K33" s="5" t="s">
        <v>37</v>
      </c>
      <c r="L33" s="3" t="s">
        <v>415</v>
      </c>
      <c r="M33" s="3" t="s">
        <v>416</v>
      </c>
      <c r="N33" s="3" t="s">
        <v>417</v>
      </c>
      <c r="O33" s="3" t="s">
        <v>418</v>
      </c>
      <c r="P33" s="3" t="s">
        <v>419</v>
      </c>
      <c r="Q33" s="6" t="s">
        <v>130</v>
      </c>
      <c r="R33" s="3" t="s">
        <v>374</v>
      </c>
      <c r="S33" s="6" t="s">
        <v>420</v>
      </c>
      <c r="T33" s="7" t="s">
        <v>421</v>
      </c>
      <c r="U33" s="6" t="s">
        <v>422</v>
      </c>
      <c r="V33" s="3" t="s">
        <v>423</v>
      </c>
      <c r="W33" s="3" t="s">
        <v>106</v>
      </c>
      <c r="X33" s="3" t="s">
        <v>123</v>
      </c>
      <c r="Y33" s="3" t="s">
        <v>424</v>
      </c>
      <c r="Z33" s="3" t="s">
        <v>425</v>
      </c>
      <c r="AA33" s="7" t="s">
        <v>426</v>
      </c>
    </row>
    <row r="34" customFormat="false" ht="120" hidden="false" customHeight="true" outlineLevel="0" collapsed="false">
      <c r="A34" s="2" t="s">
        <v>427</v>
      </c>
      <c r="B34" s="3" t="s">
        <v>28</v>
      </c>
      <c r="C34" s="3" t="s">
        <v>428</v>
      </c>
      <c r="D34" s="8" t="s">
        <v>56</v>
      </c>
      <c r="E34" s="3" t="s">
        <v>57</v>
      </c>
      <c r="F34" s="3" t="s">
        <v>58</v>
      </c>
      <c r="G34" s="3" t="s">
        <v>33</v>
      </c>
      <c r="H34" s="3" t="s">
        <v>34</v>
      </c>
      <c r="I34" s="3" t="s">
        <v>429</v>
      </c>
      <c r="J34" s="3" t="s">
        <v>430</v>
      </c>
      <c r="K34" s="5" t="s">
        <v>37</v>
      </c>
      <c r="L34" s="3" t="s">
        <v>431</v>
      </c>
      <c r="M34" s="3" t="s">
        <v>432</v>
      </c>
      <c r="N34" s="3" t="s">
        <v>433</v>
      </c>
      <c r="O34" s="3" t="s">
        <v>434</v>
      </c>
      <c r="P34" s="3" t="s">
        <v>435</v>
      </c>
      <c r="Q34" s="6" t="s">
        <v>436</v>
      </c>
      <c r="R34" s="3" t="s">
        <v>374</v>
      </c>
      <c r="S34" s="6" t="s">
        <v>437</v>
      </c>
      <c r="T34" s="7" t="s">
        <v>438</v>
      </c>
      <c r="U34" s="6" t="s">
        <v>439</v>
      </c>
      <c r="V34" s="3" t="s">
        <v>440</v>
      </c>
      <c r="W34" s="3" t="s">
        <v>106</v>
      </c>
      <c r="X34" s="3" t="s">
        <v>107</v>
      </c>
      <c r="Y34" s="3" t="s">
        <v>441</v>
      </c>
      <c r="Z34" s="3" t="s">
        <v>442</v>
      </c>
      <c r="AA34" s="7" t="s">
        <v>426</v>
      </c>
    </row>
    <row r="35" customFormat="false" ht="120" hidden="false" customHeight="true" outlineLevel="0" collapsed="false">
      <c r="A35" s="2" t="s">
        <v>443</v>
      </c>
      <c r="B35" s="3" t="s">
        <v>28</v>
      </c>
      <c r="C35" s="3" t="s">
        <v>428</v>
      </c>
      <c r="D35" s="8" t="s">
        <v>56</v>
      </c>
      <c r="E35" s="3" t="s">
        <v>57</v>
      </c>
      <c r="F35" s="3" t="s">
        <v>58</v>
      </c>
      <c r="G35" s="3" t="s">
        <v>94</v>
      </c>
      <c r="H35" s="3" t="s">
        <v>95</v>
      </c>
      <c r="I35" s="3" t="s">
        <v>263</v>
      </c>
      <c r="J35" s="3" t="s">
        <v>264</v>
      </c>
      <c r="K35" s="5" t="s">
        <v>37</v>
      </c>
      <c r="L35" s="3" t="s">
        <v>444</v>
      </c>
      <c r="M35" s="3" t="s">
        <v>445</v>
      </c>
      <c r="N35" s="3" t="s">
        <v>446</v>
      </c>
      <c r="O35" s="3" t="s">
        <v>447</v>
      </c>
      <c r="P35" s="3" t="s">
        <v>448</v>
      </c>
      <c r="Q35" s="6" t="s">
        <v>101</v>
      </c>
      <c r="R35" s="3" t="s">
        <v>374</v>
      </c>
      <c r="S35" s="6" t="s">
        <v>449</v>
      </c>
      <c r="T35" s="7" t="s">
        <v>450</v>
      </c>
      <c r="U35" s="6" t="s">
        <v>451</v>
      </c>
      <c r="V35" s="3" t="s">
        <v>452</v>
      </c>
      <c r="W35" s="3" t="s">
        <v>106</v>
      </c>
      <c r="X35" s="3" t="s">
        <v>107</v>
      </c>
      <c r="Y35" s="3" t="s">
        <v>441</v>
      </c>
      <c r="Z35" s="3" t="s">
        <v>442</v>
      </c>
      <c r="AA35" s="7" t="s">
        <v>426</v>
      </c>
    </row>
    <row r="36" customFormat="false" ht="120" hidden="false" customHeight="true" outlineLevel="0" collapsed="false">
      <c r="A36" s="2" t="s">
        <v>453</v>
      </c>
      <c r="B36" s="3" t="s">
        <v>28</v>
      </c>
      <c r="C36" s="3" t="s">
        <v>454</v>
      </c>
      <c r="D36" s="8" t="s">
        <v>56</v>
      </c>
      <c r="E36" s="3" t="s">
        <v>57</v>
      </c>
      <c r="F36" s="3" t="s">
        <v>58</v>
      </c>
      <c r="G36" s="3" t="s">
        <v>33</v>
      </c>
      <c r="H36" s="3" t="s">
        <v>34</v>
      </c>
      <c r="I36" s="3" t="s">
        <v>35</v>
      </c>
      <c r="J36" s="3" t="s">
        <v>36</v>
      </c>
      <c r="K36" s="5" t="s">
        <v>37</v>
      </c>
      <c r="L36" s="3" t="s">
        <v>455</v>
      </c>
      <c r="M36" s="3" t="s">
        <v>456</v>
      </c>
      <c r="N36" s="3" t="s">
        <v>457</v>
      </c>
      <c r="O36" s="3" t="s">
        <v>458</v>
      </c>
      <c r="P36" s="3" t="s">
        <v>459</v>
      </c>
      <c r="Q36" s="6" t="s">
        <v>43</v>
      </c>
      <c r="R36" s="3" t="s">
        <v>374</v>
      </c>
      <c r="S36" s="6" t="s">
        <v>460</v>
      </c>
      <c r="T36" s="7" t="s">
        <v>461</v>
      </c>
      <c r="U36" s="6" t="s">
        <v>462</v>
      </c>
      <c r="V36" s="3" t="s">
        <v>463</v>
      </c>
      <c r="W36" s="3" t="s">
        <v>49</v>
      </c>
      <c r="X36" s="3" t="s">
        <v>464</v>
      </c>
      <c r="Y36" s="3" t="s">
        <v>465</v>
      </c>
      <c r="Z36" s="3" t="s">
        <v>380</v>
      </c>
      <c r="AA36" s="7" t="s">
        <v>466</v>
      </c>
    </row>
    <row r="37" customFormat="false" ht="120" hidden="false" customHeight="true" outlineLevel="0" collapsed="false">
      <c r="A37" s="2" t="s">
        <v>467</v>
      </c>
      <c r="B37" s="3" t="s">
        <v>28</v>
      </c>
      <c r="C37" s="3" t="s">
        <v>468</v>
      </c>
      <c r="D37" s="4" t="s">
        <v>30</v>
      </c>
      <c r="E37" s="3" t="s">
        <v>31</v>
      </c>
      <c r="F37" s="3" t="s">
        <v>32</v>
      </c>
      <c r="G37" s="3" t="s">
        <v>33</v>
      </c>
      <c r="H37" s="3" t="s">
        <v>34</v>
      </c>
      <c r="I37" s="3" t="s">
        <v>35</v>
      </c>
      <c r="J37" s="3" t="s">
        <v>36</v>
      </c>
      <c r="K37" s="5" t="s">
        <v>37</v>
      </c>
      <c r="L37" s="3" t="s">
        <v>469</v>
      </c>
      <c r="M37" s="3" t="s">
        <v>470</v>
      </c>
      <c r="N37" s="3" t="s">
        <v>471</v>
      </c>
      <c r="O37" s="3" t="s">
        <v>472</v>
      </c>
      <c r="P37" s="3" t="s">
        <v>473</v>
      </c>
      <c r="Q37" s="6" t="s">
        <v>66</v>
      </c>
      <c r="R37" s="3" t="s">
        <v>374</v>
      </c>
      <c r="S37" s="6" t="s">
        <v>474</v>
      </c>
      <c r="T37" s="7" t="s">
        <v>475</v>
      </c>
      <c r="U37" s="6" t="s">
        <v>224</v>
      </c>
      <c r="V37" s="3" t="s">
        <v>476</v>
      </c>
      <c r="W37" s="3" t="s">
        <v>49</v>
      </c>
      <c r="X37" s="3" t="s">
        <v>86</v>
      </c>
      <c r="Y37" s="3" t="s">
        <v>477</v>
      </c>
      <c r="Z37" s="3" t="s">
        <v>478</v>
      </c>
      <c r="AA37" s="7" t="s">
        <v>466</v>
      </c>
    </row>
    <row r="38" customFormat="false" ht="120" hidden="false" customHeight="true" outlineLevel="0" collapsed="false">
      <c r="A38" s="2" t="s">
        <v>479</v>
      </c>
      <c r="B38" s="3" t="s">
        <v>28</v>
      </c>
      <c r="C38" s="3" t="s">
        <v>468</v>
      </c>
      <c r="D38" s="8" t="s">
        <v>56</v>
      </c>
      <c r="E38" s="3" t="s">
        <v>57</v>
      </c>
      <c r="F38" s="3" t="s">
        <v>58</v>
      </c>
      <c r="G38" s="3" t="s">
        <v>94</v>
      </c>
      <c r="H38" s="3" t="s">
        <v>95</v>
      </c>
      <c r="I38" s="3" t="s">
        <v>263</v>
      </c>
      <c r="J38" s="3" t="s">
        <v>264</v>
      </c>
      <c r="K38" s="5" t="s">
        <v>37</v>
      </c>
      <c r="L38" s="3" t="s">
        <v>480</v>
      </c>
      <c r="M38" s="3" t="s">
        <v>481</v>
      </c>
      <c r="N38" s="3" t="s">
        <v>482</v>
      </c>
      <c r="O38" s="3" t="s">
        <v>483</v>
      </c>
      <c r="P38" s="3" t="s">
        <v>484</v>
      </c>
      <c r="Q38" s="6" t="s">
        <v>130</v>
      </c>
      <c r="R38" s="3" t="s">
        <v>374</v>
      </c>
      <c r="S38" s="6" t="s">
        <v>485</v>
      </c>
      <c r="T38" s="7" t="s">
        <v>486</v>
      </c>
      <c r="U38" s="6" t="s">
        <v>487</v>
      </c>
      <c r="V38" s="3" t="s">
        <v>488</v>
      </c>
      <c r="W38" s="3" t="s">
        <v>49</v>
      </c>
      <c r="X38" s="3" t="s">
        <v>489</v>
      </c>
      <c r="Y38" s="3" t="s">
        <v>477</v>
      </c>
      <c r="Z38" s="3" t="s">
        <v>478</v>
      </c>
      <c r="AA38" s="7" t="s">
        <v>466</v>
      </c>
    </row>
    <row r="39" customFormat="false" ht="120" hidden="false" customHeight="true" outlineLevel="0" collapsed="false">
      <c r="A39" s="2" t="s">
        <v>490</v>
      </c>
      <c r="B39" s="3" t="s">
        <v>28</v>
      </c>
      <c r="C39" s="3" t="s">
        <v>491</v>
      </c>
      <c r="D39" s="4" t="s">
        <v>30</v>
      </c>
      <c r="E39" s="3" t="s">
        <v>31</v>
      </c>
      <c r="F39" s="3" t="s">
        <v>32</v>
      </c>
      <c r="G39" s="3" t="s">
        <v>33</v>
      </c>
      <c r="H39" s="3" t="s">
        <v>34</v>
      </c>
      <c r="I39" s="3" t="s">
        <v>263</v>
      </c>
      <c r="J39" s="3" t="s">
        <v>264</v>
      </c>
      <c r="K39" s="5" t="s">
        <v>37</v>
      </c>
      <c r="L39" s="3" t="s">
        <v>492</v>
      </c>
      <c r="M39" s="3" t="s">
        <v>493</v>
      </c>
      <c r="N39" s="3" t="s">
        <v>494</v>
      </c>
      <c r="O39" s="3" t="s">
        <v>495</v>
      </c>
      <c r="P39" s="3" t="s">
        <v>496</v>
      </c>
      <c r="Q39" s="6" t="s">
        <v>101</v>
      </c>
      <c r="R39" s="3" t="s">
        <v>374</v>
      </c>
      <c r="S39" s="6" t="s">
        <v>497</v>
      </c>
      <c r="T39" s="7" t="s">
        <v>498</v>
      </c>
      <c r="U39" s="6" t="s">
        <v>499</v>
      </c>
      <c r="V39" s="3" t="s">
        <v>500</v>
      </c>
      <c r="W39" s="3" t="s">
        <v>49</v>
      </c>
      <c r="X39" s="3" t="s">
        <v>501</v>
      </c>
      <c r="Y39" s="3" t="s">
        <v>502</v>
      </c>
      <c r="Z39" s="3" t="s">
        <v>478</v>
      </c>
      <c r="AA39" s="7" t="s">
        <v>466</v>
      </c>
    </row>
    <row r="40" customFormat="false" ht="120" hidden="false" customHeight="true" outlineLevel="0" collapsed="false">
      <c r="A40" s="2" t="s">
        <v>503</v>
      </c>
      <c r="B40" s="3" t="s">
        <v>28</v>
      </c>
      <c r="C40" s="3" t="s">
        <v>504</v>
      </c>
      <c r="D40" s="4" t="s">
        <v>30</v>
      </c>
      <c r="E40" s="3" t="s">
        <v>31</v>
      </c>
      <c r="F40" s="3" t="s">
        <v>32</v>
      </c>
      <c r="G40" s="3" t="s">
        <v>33</v>
      </c>
      <c r="H40" s="3" t="s">
        <v>34</v>
      </c>
      <c r="I40" s="3" t="s">
        <v>505</v>
      </c>
      <c r="J40" s="3" t="s">
        <v>506</v>
      </c>
      <c r="K40" s="5" t="s">
        <v>37</v>
      </c>
      <c r="L40" s="3" t="s">
        <v>507</v>
      </c>
      <c r="M40" s="3" t="s">
        <v>508</v>
      </c>
      <c r="N40" s="3" t="s">
        <v>509</v>
      </c>
      <c r="O40" s="3" t="s">
        <v>510</v>
      </c>
      <c r="P40" s="3" t="s">
        <v>511</v>
      </c>
      <c r="Q40" s="6" t="s">
        <v>512</v>
      </c>
      <c r="R40" s="3" t="s">
        <v>374</v>
      </c>
      <c r="S40" s="6" t="s">
        <v>513</v>
      </c>
      <c r="T40" s="7" t="s">
        <v>514</v>
      </c>
      <c r="U40" s="6" t="s">
        <v>515</v>
      </c>
      <c r="V40" s="3" t="s">
        <v>516</v>
      </c>
      <c r="W40" s="3" t="s">
        <v>121</v>
      </c>
      <c r="X40" s="3" t="s">
        <v>517</v>
      </c>
      <c r="Y40" s="3" t="s">
        <v>204</v>
      </c>
      <c r="Z40" s="3" t="s">
        <v>392</v>
      </c>
      <c r="AA40" s="7" t="s">
        <v>466</v>
      </c>
    </row>
    <row r="41" customFormat="false" ht="120" hidden="false" customHeight="true" outlineLevel="0" collapsed="false">
      <c r="A41" s="2" t="s">
        <v>518</v>
      </c>
      <c r="B41" s="3" t="s">
        <v>28</v>
      </c>
      <c r="C41" s="3" t="s">
        <v>519</v>
      </c>
      <c r="D41" s="8" t="s">
        <v>56</v>
      </c>
      <c r="E41" s="3" t="s">
        <v>57</v>
      </c>
      <c r="F41" s="3" t="s">
        <v>58</v>
      </c>
      <c r="G41" s="3" t="s">
        <v>33</v>
      </c>
      <c r="H41" s="3" t="s">
        <v>34</v>
      </c>
      <c r="I41" s="3" t="s">
        <v>263</v>
      </c>
      <c r="J41" s="3" t="s">
        <v>264</v>
      </c>
      <c r="K41" s="5" t="s">
        <v>37</v>
      </c>
      <c r="L41" s="3" t="s">
        <v>520</v>
      </c>
      <c r="M41" s="3" t="s">
        <v>521</v>
      </c>
      <c r="N41" s="3" t="s">
        <v>522</v>
      </c>
      <c r="O41" s="3" t="s">
        <v>523</v>
      </c>
      <c r="P41" s="3" t="s">
        <v>524</v>
      </c>
      <c r="Q41" s="6" t="s">
        <v>525</v>
      </c>
      <c r="R41" s="3" t="s">
        <v>374</v>
      </c>
      <c r="S41" s="6" t="s">
        <v>526</v>
      </c>
      <c r="T41" s="7" t="s">
        <v>527</v>
      </c>
      <c r="U41" s="6" t="s">
        <v>528</v>
      </c>
      <c r="V41" s="3" t="s">
        <v>529</v>
      </c>
      <c r="W41" s="3" t="s">
        <v>121</v>
      </c>
      <c r="X41" s="3" t="s">
        <v>530</v>
      </c>
      <c r="Y41" s="3" t="s">
        <v>531</v>
      </c>
      <c r="Z41" s="3" t="s">
        <v>532</v>
      </c>
      <c r="AA41" s="7" t="s">
        <v>466</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 ref="T29" r:id="rId55" location="L18%20https://github.com/spencerwon/navanax1/blob/tester/.claude/agents/research.md%23L18%20https://github.com/spencerwon/navanax1/blob/tester/.claude/agents/orchestrator.md%23L47%20https://github.com/spencerwon/navanax1/blob/tester/.claude/agents/build-r" display="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hyperlink ref="AA29" r:id="rId56" display="#1"/>
    <hyperlink ref="T30" r:id="rId57" location="L22%20https://github.com/spencerwon/navanax1/blob/tester/src/navanax/governor.py%23L169" display="https://github.com/spencerwon/navanax1/blob/tester/config/base.yaml#L22 https://github.com/spencerwon/navanax1/blob/tester/src/navanax/governor.py#L169"/>
    <hyperlink ref="AA30" r:id="rId58" display="#1"/>
    <hyperlink ref="T31" r:id="rId59" location="L217%20https://github.com/spencerwon/navanax1/blob/tester/src/navanax/governor.py%23L360" display="https://github.com/spencerwon/navanax1/blob/tester/src/navanax/governor.py#L217 https://github.com/spencerwon/navanax1/blob/tester/src/navanax/governor.py#L360"/>
    <hyperlink ref="AA31" r:id="rId60" display="#1"/>
    <hyperlink ref="T32" r:id="rId61" location="L208%20https://github.com/spencerwon/navanax1/blob/tester/src/navanax/cli.py%23L194" display="https://github.com/spencerwon/navanax1/blob/tester/src/navanax/opstore.py#L208 https://github.com/spencerwon/navanax1/blob/tester/src/navanax/cli.py#L194"/>
    <hyperlink ref="AA32" r:id="rId62" display="#1"/>
    <hyperlink ref="T33" r:id="rId63" location="L150%20https://github.com/spencerwon/navanax1/blob/tester/src/navanax/codec.py%23L168%20https://github.com/spencerwon/navanax1/blob/tester/src/navanax/codec.py%23L300" display="https://github.com/spencerwon/navanax1/blob/tester/src/navanax/codec.py#L150 https://github.com/spencerwon/navanax1/blob/tester/src/navanax/codec.py#L168 https://github.com/spencerwon/navanax1/blob/tester/src/navanax/codec.py#L300"/>
    <hyperlink ref="AA33" r:id="rId64" display="#2"/>
    <hyperlink ref="T34" r:id="rId65" location="L61%20https://github.com/spencerwon/navanax1/blob/tester/tools/secrets_check.py%23L1" display="https://github.com/spencerwon/navanax1/blob/tester/.github/workflows/ci.yml#L61 https://github.com/spencerwon/navanax1/blob/tester/tools/secrets_check.py#L1"/>
    <hyperlink ref="AA34" r:id="rId66" display="#2"/>
    <hyperlink ref="T35" r:id="rId67" location="L12" display="https://github.com/spencerwon/navanax1/blob/tester/.github/workflows/ci.yml#L12"/>
    <hyperlink ref="AA35" r:id="rId68" display="#2"/>
    <hyperlink ref="T36" r:id="rId69" location="L1%20https://github.com/spencerwon/navanax1/blob/tester/src/navanax/stream.py%23L755%20https://github.com/spencerwon/navanax1/blob/tester/tools/preflight.py%23L52" display="https://github.com/spencerwon/navanax1/blob/tester/src/navanax/tls.py#L1 https://github.com/spencerwon/navanax1/blob/tester/src/navanax/stream.py#L755 https://github.com/spencerwon/navanax1/blob/tester/tools/preflight.py#L52"/>
    <hyperlink ref="AA36" r:id="rId70" display="#3"/>
    <hyperlink ref="T37" r:id="rId71" location="L108" display="https://github.com/spencerwon/navanax1/blob/tester/docs/07_STORAGE_AND_RECORDING.md#L108"/>
    <hyperlink ref="AA37" r:id="rId72" display="#3"/>
    <hyperlink ref="T38" r:id="rId73" location="L118" display="https://github.com/spencerwon/navanax1/blob/tester/src/navanax/cli.py#L118"/>
    <hyperlink ref="AA38" r:id="rId74" display="#3"/>
    <hyperlink ref="T39" r:id="rId75" location="L1660" display="https://github.com/spencerwon/navanax1/blob/tester/tests/selftest.py#L1660"/>
    <hyperlink ref="AA39" r:id="rId76" display="#3"/>
    <hyperlink ref="T40" r:id="rId77" location="L153" display="https://github.com/spencerwon/navanax1/blob/tester/src/navanax/normalize.py#L153"/>
    <hyperlink ref="AA40" r:id="rId78" display="#3"/>
    <hyperlink ref="T41" r:id="rId79" location="L76%20https://github.com/spencerwon/navanax1/blob/tester/src/navanax/metrics.py%23L280" display="https://github.com/spencerwon/navanax1/blob/tester/src/navanax/normalize.py#L76 https://github.com/spencerwon/navanax1/blob/tester/src/navanax/metrics.py#L280"/>
    <hyperlink ref="AA41" r:id="rId80" display="#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1" t="s">
        <v>533</v>
      </c>
    </row>
    <row r="2" customFormat="false" ht="33.75" hidden="false" customHeight="true" outlineLevel="0" collapsed="false">
      <c r="A2" s="12" t="s">
        <v>534</v>
      </c>
      <c r="B2" s="12"/>
      <c r="C2" s="12"/>
      <c r="D2" s="12"/>
      <c r="E2" s="12"/>
    </row>
    <row r="4" customFormat="false" ht="15" hidden="false" customHeight="false" outlineLevel="0" collapsed="false">
      <c r="A4" s="13" t="s">
        <v>3</v>
      </c>
      <c r="B4" s="13" t="s">
        <v>535</v>
      </c>
      <c r="C4" s="13" t="s">
        <v>5</v>
      </c>
      <c r="D4" s="13" t="s">
        <v>536</v>
      </c>
      <c r="E4" s="13" t="s">
        <v>537</v>
      </c>
    </row>
    <row r="5" customFormat="false" ht="15" hidden="false" customHeight="false" outlineLevel="0" collapsed="false">
      <c r="A5" s="14" t="s">
        <v>538</v>
      </c>
      <c r="B5" s="15" t="s">
        <v>539</v>
      </c>
      <c r="C5" s="15" t="s">
        <v>540</v>
      </c>
      <c r="D5" s="15" t="n">
        <f aca="false">COUNTIFS('Bug log'!$D$2:$D$41,$A5,'Bug log'!$K$2:$K$41,"&lt;&gt;fixed")</f>
        <v>0</v>
      </c>
      <c r="E5" s="15" t="n">
        <f aca="false">COUNTIF('Bug log'!$D$2:$D$41,$A5)</f>
        <v>0</v>
      </c>
    </row>
    <row r="6" customFormat="false" ht="15" hidden="false" customHeight="false" outlineLevel="0" collapsed="false">
      <c r="A6" s="16" t="s">
        <v>541</v>
      </c>
      <c r="B6" s="15" t="s">
        <v>542</v>
      </c>
      <c r="C6" s="15" t="s">
        <v>543</v>
      </c>
      <c r="D6" s="15" t="n">
        <f aca="false">COUNTIFS('Bug log'!$D$2:$D$41,$A6,'Bug log'!$K$2:$K$41,"&lt;&gt;fixed")</f>
        <v>0</v>
      </c>
      <c r="E6" s="15" t="n">
        <f aca="false">COUNTIF('Bug log'!$D$2:$D$41,$A6)</f>
        <v>0</v>
      </c>
    </row>
    <row r="7" customFormat="false" ht="15" hidden="false" customHeight="false" outlineLevel="0" collapsed="false">
      <c r="A7" s="17" t="s">
        <v>30</v>
      </c>
      <c r="B7" s="15" t="s">
        <v>31</v>
      </c>
      <c r="C7" s="15" t="s">
        <v>32</v>
      </c>
      <c r="D7" s="15" t="n">
        <f aca="false">COUNTIFS('Bug log'!$D$2:$D$41,$A7,'Bug log'!$K$2:$K$41,"&lt;&gt;fixed")</f>
        <v>0</v>
      </c>
      <c r="E7" s="15" t="n">
        <f aca="false">COUNTIF('Bug log'!$D$2:$D$41,$A7)</f>
        <v>21</v>
      </c>
    </row>
    <row r="8" customFormat="false" ht="15" hidden="false" customHeight="false" outlineLevel="0" collapsed="false">
      <c r="A8" s="18" t="s">
        <v>136</v>
      </c>
      <c r="B8" s="15" t="s">
        <v>137</v>
      </c>
      <c r="C8" s="15" t="s">
        <v>138</v>
      </c>
      <c r="D8" s="15" t="n">
        <f aca="false">COUNTIFS('Bug log'!$D$2:$D$41,$A8,'Bug log'!$K$2:$K$41,"&lt;&gt;fixed")</f>
        <v>0</v>
      </c>
      <c r="E8" s="15" t="n">
        <f aca="false">COUNTIF('Bug log'!$D$2:$D$41,$A8)</f>
        <v>7</v>
      </c>
    </row>
    <row r="9" customFormat="false" ht="15" hidden="false" customHeight="false" outlineLevel="0" collapsed="false">
      <c r="A9" s="19" t="s">
        <v>56</v>
      </c>
      <c r="B9" s="15" t="s">
        <v>57</v>
      </c>
      <c r="C9" s="15" t="s">
        <v>58</v>
      </c>
      <c r="D9" s="15" t="n">
        <f aca="false">COUNTIFS('Bug log'!$D$2:$D$41,$A9,'Bug log'!$K$2:$K$41,"&lt;&gt;fixed")</f>
        <v>0</v>
      </c>
      <c r="E9" s="15" t="n">
        <f aca="false">COUNTIF('Bug log'!$D$2:$D$41,$A9)</f>
        <v>11</v>
      </c>
    </row>
    <row r="10" customFormat="false" ht="15" hidden="false" customHeight="false" outlineLevel="0" collapsed="false">
      <c r="A10" s="20" t="s">
        <v>91</v>
      </c>
      <c r="B10" s="15" t="s">
        <v>92</v>
      </c>
      <c r="C10" s="15" t="s">
        <v>93</v>
      </c>
      <c r="D10" s="15" t="n">
        <f aca="false">COUNTIFS('Bug log'!$D$2:$D$41,$A10,'Bug log'!$K$2:$K$41,"&lt;&gt;fixed")</f>
        <v>0</v>
      </c>
      <c r="E10" s="15" t="n">
        <f aca="false">COUNTIF('Bug log'!$D$2:$D$41,$A10)</f>
        <v>1</v>
      </c>
    </row>
    <row r="12" customFormat="false" ht="15" hidden="false" customHeight="false" outlineLevel="0" collapsed="false">
      <c r="A12" s="21" t="s">
        <v>6</v>
      </c>
    </row>
    <row r="13" customFormat="false" ht="15" hidden="false" customHeight="false" outlineLevel="0" collapsed="false">
      <c r="A13" s="22" t="s">
        <v>33</v>
      </c>
      <c r="B13" s="15" t="s">
        <v>34</v>
      </c>
    </row>
    <row r="14" customFormat="false" ht="15" hidden="false" customHeight="false" outlineLevel="0" collapsed="false">
      <c r="A14" s="22" t="s">
        <v>94</v>
      </c>
      <c r="B14" s="15" t="s">
        <v>95</v>
      </c>
    </row>
    <row r="15" customFormat="false" ht="15" hidden="false" customHeight="false" outlineLevel="0" collapsed="false">
      <c r="A15" s="22" t="s">
        <v>228</v>
      </c>
      <c r="B15" s="15" t="s">
        <v>229</v>
      </c>
    </row>
    <row r="16" customFormat="false" ht="15" hidden="false" customHeight="false" outlineLevel="0" collapsed="false">
      <c r="A16" s="22" t="s">
        <v>240</v>
      </c>
      <c r="B16" s="15" t="s">
        <v>93</v>
      </c>
    </row>
    <row r="18" customFormat="false" ht="15" hidden="false" customHeight="false" outlineLevel="0" collapsed="false">
      <c r="A18" s="21" t="s">
        <v>544</v>
      </c>
    </row>
    <row r="19" customFormat="false" ht="15" hidden="false" customHeight="false" outlineLevel="0" collapsed="false">
      <c r="A19" s="22" t="s">
        <v>35</v>
      </c>
      <c r="B19" s="15" t="s">
        <v>36</v>
      </c>
    </row>
    <row r="20" customFormat="false" ht="15" hidden="false" customHeight="false" outlineLevel="0" collapsed="false">
      <c r="A20" s="22" t="s">
        <v>59</v>
      </c>
      <c r="B20" s="15" t="s">
        <v>60</v>
      </c>
    </row>
    <row r="21" customFormat="false" ht="15" hidden="false" customHeight="false" outlineLevel="0" collapsed="false">
      <c r="A21" s="22" t="s">
        <v>505</v>
      </c>
      <c r="B21" s="15" t="s">
        <v>506</v>
      </c>
    </row>
    <row r="22" customFormat="false" ht="15" hidden="false" customHeight="false" outlineLevel="0" collapsed="false">
      <c r="A22" s="22" t="s">
        <v>545</v>
      </c>
      <c r="B22" s="15" t="s">
        <v>546</v>
      </c>
    </row>
    <row r="23" customFormat="false" ht="15" hidden="false" customHeight="false" outlineLevel="0" collapsed="false">
      <c r="A23" s="22" t="s">
        <v>193</v>
      </c>
      <c r="B23" s="15" t="s">
        <v>194</v>
      </c>
    </row>
    <row r="24" customFormat="false" ht="15" hidden="false" customHeight="false" outlineLevel="0" collapsed="false">
      <c r="A24" s="22" t="s">
        <v>250</v>
      </c>
      <c r="B24" s="15" t="s">
        <v>251</v>
      </c>
    </row>
    <row r="25" customFormat="false" ht="15" hidden="false" customHeight="false" outlineLevel="0" collapsed="false">
      <c r="A25" s="22" t="s">
        <v>429</v>
      </c>
      <c r="B25" s="15" t="s">
        <v>430</v>
      </c>
    </row>
    <row r="26" customFormat="false" ht="15" hidden="false" customHeight="false" outlineLevel="0" collapsed="false">
      <c r="A26" s="22" t="s">
        <v>263</v>
      </c>
      <c r="B26" s="15" t="s">
        <v>264</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2" t="s">
        <v>547</v>
      </c>
    </row>
    <row r="2" customFormat="false" ht="15" hidden="false" customHeight="false" outlineLevel="0" collapsed="false">
      <c r="A2" s="15"/>
    </row>
    <row r="3" customFormat="false" ht="15" hidden="false" customHeight="false" outlineLevel="0" collapsed="false">
      <c r="A3" s="15" t="s">
        <v>548</v>
      </c>
    </row>
    <row r="4" customFormat="false" ht="15" hidden="false" customHeight="false" outlineLevel="0" collapsed="false">
      <c r="A4" s="15" t="s">
        <v>549</v>
      </c>
    </row>
    <row r="5" customFormat="false" ht="15" hidden="false" customHeight="false" outlineLevel="0" collapsed="false">
      <c r="A5" s="15" t="s">
        <v>550</v>
      </c>
    </row>
    <row r="6" customFormat="false" ht="15" hidden="false" customHeight="false" outlineLevel="0" collapsed="false">
      <c r="A6" s="15" t="s">
        <v>551</v>
      </c>
    </row>
    <row r="7" customFormat="false" ht="15" hidden="false" customHeight="false" outlineLevel="0" collapsed="false">
      <c r="A7" s="15"/>
    </row>
    <row r="8" customFormat="false" ht="15" hidden="false" customHeight="false" outlineLevel="0" collapsed="false">
      <c r="A8" s="15" t="s">
        <v>552</v>
      </c>
    </row>
    <row r="9" customFormat="false" ht="15" hidden="false" customHeight="false" outlineLevel="0" collapsed="false">
      <c r="A9" s="15" t="s">
        <v>553</v>
      </c>
    </row>
    <row r="10" customFormat="false" ht="15" hidden="false" customHeight="false" outlineLevel="0" collapsed="false">
      <c r="A10" s="15"/>
    </row>
    <row r="11" customFormat="false" ht="15" hidden="false" customHeight="false" outlineLevel="0" collapsed="false">
      <c r="A11" s="15" t="s">
        <v>554</v>
      </c>
    </row>
    <row r="12" customFormat="false" ht="15" hidden="false" customHeight="false" outlineLevel="0" collapsed="false">
      <c r="A12" s="15" t="s">
        <v>555</v>
      </c>
    </row>
    <row r="13" customFormat="false" ht="15" hidden="false" customHeight="false" outlineLevel="0" collapsed="false">
      <c r="A13" s="15" t="s">
        <v>556</v>
      </c>
    </row>
    <row r="14" customFormat="false" ht="15" hidden="false" customHeight="false" outlineLevel="0" collapsed="false">
      <c r="A14" s="15" t="s">
        <v>557</v>
      </c>
    </row>
    <row r="15" customFormat="false" ht="15" hidden="false" customHeight="false" outlineLevel="0" collapsed="false">
      <c r="A15" s="15" t="s">
        <v>558</v>
      </c>
    </row>
    <row r="16" customFormat="false" ht="15" hidden="false" customHeight="false" outlineLevel="0" collapsed="false">
      <c r="A16" s="15"/>
    </row>
    <row r="17" customFormat="false" ht="15" hidden="false" customHeight="false" outlineLevel="0" collapsed="false">
      <c r="A17" s="15" t="s">
        <v>559</v>
      </c>
    </row>
    <row r="18" customFormat="false" ht="15" hidden="false" customHeight="false" outlineLevel="0" collapsed="false">
      <c r="A18" s="15" t="s">
        <v>560</v>
      </c>
    </row>
    <row r="19" customFormat="false" ht="15" hidden="false" customHeight="false" outlineLevel="0" collapsed="false">
      <c r="A19" s="15" t="s">
        <v>561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2026-09-09T10:57:54Z</dcterms:created>
  <dc:creator>openpyxl</dc:creator>
  <dc:description/>
  <dc:language>en-US</dc:language>
  <cp:lastModifiedBy/>
  <dcterms:modified xsi:type="dcterms:W3CDTF">2026-09-09T10:57:54Z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